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User\Desktop\"/>
    </mc:Choice>
  </mc:AlternateContent>
  <xr:revisionPtr revIDLastSave="0" documentId="8_{55A54252-111A-41B7-8CBE-A55863FDE611}" xr6:coauthVersionLast="47" xr6:coauthVersionMax="47" xr10:uidLastSave="{00000000-0000-0000-0000-000000000000}"/>
  <bookViews>
    <workbookView xWindow="-120" yWindow="-120" windowWidth="20730" windowHeight="11040" activeTab="5" xr2:uid="{00000000-000D-0000-FFFF-FFFF00000000}"/>
  </bookViews>
  <sheets>
    <sheet name="Raw_Employee_Data" sheetId="1" r:id="rId1"/>
    <sheet name="Lookup_Departments" sheetId="2" state="hidden" r:id="rId2"/>
    <sheet name="Lookup_Performance" sheetId="3" state="hidden" r:id="rId3"/>
    <sheet name="Analysis" sheetId="4" r:id="rId4"/>
    <sheet name="Chart" sheetId="6" r:id="rId5"/>
    <sheet name="HR Dashboard" sheetId="7" r:id="rId6"/>
  </sheets>
  <definedNames>
    <definedName name="_xlnm._FilterDatabase" localSheetId="0" hidden="1">Raw_Employee_Data!$B$1:$J$151</definedName>
    <definedName name="Slicer_Department_Name">#N/A</definedName>
    <definedName name="Slicer_Employment_Status">#N/A</definedName>
    <definedName name="Slicer_Performance_Band">#N/A</definedName>
    <definedName name="Slicer_Years">#N/A</definedName>
  </definedNames>
  <calcPr calcId="191029"/>
  <pivotCaches>
    <pivotCache cacheId="18"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31" i="4" l="1"/>
  <c r="H32" i="4"/>
  <c r="H33" i="4"/>
  <c r="H34" i="4"/>
  <c r="H35" i="4"/>
  <c r="H30" i="4"/>
  <c r="M3" i="1" a="1"/>
  <c r="M3" i="1" s="1"/>
  <c r="N3" i="1" s="1"/>
  <c r="M4" i="1" a="1"/>
  <c r="M4" i="1" s="1"/>
  <c r="N4" i="1" s="1"/>
  <c r="M5" i="1" a="1"/>
  <c r="M5" i="1" s="1"/>
  <c r="N5" i="1" s="1"/>
  <c r="M6" i="1" a="1"/>
  <c r="M6" i="1" s="1"/>
  <c r="N6" i="1" s="1"/>
  <c r="M7" i="1" a="1"/>
  <c r="M7" i="1" s="1"/>
  <c r="N7" i="1" s="1"/>
  <c r="M8" i="1" a="1"/>
  <c r="M8" i="1" s="1"/>
  <c r="N8" i="1" s="1"/>
  <c r="M9" i="1" a="1"/>
  <c r="M9" i="1" s="1"/>
  <c r="N9" i="1" s="1"/>
  <c r="M10" i="1" a="1"/>
  <c r="M10" i="1" s="1"/>
  <c r="N10" i="1" s="1"/>
  <c r="M11" i="1" a="1"/>
  <c r="M11" i="1" s="1"/>
  <c r="N11" i="1" s="1"/>
  <c r="M12" i="1" a="1"/>
  <c r="M12" i="1" s="1"/>
  <c r="N12" i="1" s="1"/>
  <c r="M13" i="1" a="1"/>
  <c r="M13" i="1" s="1"/>
  <c r="N13" i="1" s="1"/>
  <c r="M14" i="1" a="1"/>
  <c r="M14" i="1" s="1"/>
  <c r="N14" i="1" s="1"/>
  <c r="M15" i="1" a="1"/>
  <c r="M15" i="1" s="1"/>
  <c r="N15" i="1" s="1"/>
  <c r="M16" i="1" a="1"/>
  <c r="M16" i="1" s="1"/>
  <c r="N16" i="1" s="1"/>
  <c r="M17" i="1" a="1"/>
  <c r="M17" i="1" s="1"/>
  <c r="N17" i="1" s="1"/>
  <c r="M18" i="1" a="1"/>
  <c r="M18" i="1" s="1"/>
  <c r="N18" i="1" s="1"/>
  <c r="M19" i="1" a="1"/>
  <c r="M19" i="1" s="1"/>
  <c r="N19" i="1" s="1"/>
  <c r="M20" i="1" a="1"/>
  <c r="M20" i="1" s="1"/>
  <c r="N20" i="1" s="1"/>
  <c r="M21" i="1" a="1"/>
  <c r="M21" i="1" s="1"/>
  <c r="N21" i="1" s="1"/>
  <c r="M22" i="1" a="1"/>
  <c r="M22" i="1" s="1"/>
  <c r="N22" i="1" s="1"/>
  <c r="M23" i="1" a="1"/>
  <c r="M23" i="1" s="1"/>
  <c r="N23" i="1" s="1"/>
  <c r="M24" i="1" a="1"/>
  <c r="M24" i="1" s="1"/>
  <c r="N24" i="1" s="1"/>
  <c r="M25" i="1" a="1"/>
  <c r="M25" i="1" s="1"/>
  <c r="N25" i="1" s="1"/>
  <c r="M26" i="1" a="1"/>
  <c r="M26" i="1" s="1"/>
  <c r="N26" i="1" s="1"/>
  <c r="M27" i="1" a="1"/>
  <c r="M27" i="1" s="1"/>
  <c r="N27" i="1" s="1"/>
  <c r="M28" i="1" a="1"/>
  <c r="M28" i="1" s="1"/>
  <c r="N28" i="1" s="1"/>
  <c r="M29" i="1" a="1"/>
  <c r="M29" i="1" s="1"/>
  <c r="N29" i="1" s="1"/>
  <c r="M30" i="1" a="1"/>
  <c r="M30" i="1" s="1"/>
  <c r="N30" i="1" s="1"/>
  <c r="M31" i="1" a="1"/>
  <c r="M31" i="1" s="1"/>
  <c r="N31" i="1" s="1"/>
  <c r="M32" i="1" a="1"/>
  <c r="M32" i="1" s="1"/>
  <c r="N32" i="1" s="1"/>
  <c r="M33" i="1" a="1"/>
  <c r="M33" i="1" s="1"/>
  <c r="N33" i="1" s="1"/>
  <c r="M34" i="1" a="1"/>
  <c r="M34" i="1" s="1"/>
  <c r="N34" i="1" s="1"/>
  <c r="M35" i="1" a="1"/>
  <c r="M35" i="1" s="1"/>
  <c r="N35" i="1" s="1"/>
  <c r="M36" i="1" a="1"/>
  <c r="M36" i="1" s="1"/>
  <c r="N36" i="1" s="1"/>
  <c r="M37" i="1" a="1"/>
  <c r="M37" i="1" s="1"/>
  <c r="N37" i="1" s="1"/>
  <c r="M38" i="1" a="1"/>
  <c r="M38" i="1"/>
  <c r="N38" i="1" s="1"/>
  <c r="M39" i="1" a="1"/>
  <c r="M39" i="1" s="1"/>
  <c r="N39" i="1" s="1"/>
  <c r="M40" i="1" a="1"/>
  <c r="M40" i="1"/>
  <c r="N40" i="1" s="1"/>
  <c r="M41" i="1" a="1"/>
  <c r="M41" i="1" s="1"/>
  <c r="N41" i="1" s="1"/>
  <c r="M42" i="1" a="1"/>
  <c r="M42" i="1" s="1"/>
  <c r="N42" i="1" s="1"/>
  <c r="M43" i="1" a="1"/>
  <c r="M43" i="1" s="1"/>
  <c r="N43" i="1" s="1"/>
  <c r="M44" i="1" a="1"/>
  <c r="M44" i="1" s="1"/>
  <c r="N44" i="1" s="1"/>
  <c r="M45" i="1" a="1"/>
  <c r="M45" i="1" s="1"/>
  <c r="N45" i="1" s="1"/>
  <c r="M46" i="1" a="1"/>
  <c r="M46" i="1" s="1"/>
  <c r="N46" i="1" s="1"/>
  <c r="M47" i="1" a="1"/>
  <c r="M47" i="1" s="1"/>
  <c r="N47" i="1" s="1"/>
  <c r="M48" i="1" a="1"/>
  <c r="M48" i="1" s="1"/>
  <c r="N48" i="1" s="1"/>
  <c r="M49" i="1" a="1"/>
  <c r="M49" i="1" s="1"/>
  <c r="N49" i="1" s="1"/>
  <c r="M50" i="1" a="1"/>
  <c r="M50" i="1" s="1"/>
  <c r="N50" i="1" s="1"/>
  <c r="M51" i="1" a="1"/>
  <c r="M51" i="1" s="1"/>
  <c r="N51" i="1" s="1"/>
  <c r="M52" i="1" a="1"/>
  <c r="M52" i="1" s="1"/>
  <c r="N52" i="1" s="1"/>
  <c r="M53" i="1" a="1"/>
  <c r="M53" i="1" s="1"/>
  <c r="N53" i="1" s="1"/>
  <c r="M54" i="1" a="1"/>
  <c r="M54" i="1" s="1"/>
  <c r="N54" i="1" s="1"/>
  <c r="M55" i="1" a="1"/>
  <c r="M55" i="1" s="1"/>
  <c r="N55" i="1" s="1"/>
  <c r="M56" i="1" a="1"/>
  <c r="M56" i="1" s="1"/>
  <c r="N56" i="1" s="1"/>
  <c r="M57" i="1" a="1"/>
  <c r="M57" i="1" s="1"/>
  <c r="N57" i="1" s="1"/>
  <c r="M58" i="1" a="1"/>
  <c r="M58" i="1" s="1"/>
  <c r="N58" i="1" s="1"/>
  <c r="M59" i="1" a="1"/>
  <c r="M59" i="1" s="1"/>
  <c r="N59" i="1" s="1"/>
  <c r="M60" i="1" a="1"/>
  <c r="M60" i="1" s="1"/>
  <c r="N60" i="1" s="1"/>
  <c r="M61" i="1" a="1"/>
  <c r="M61" i="1" s="1"/>
  <c r="N61" i="1" s="1"/>
  <c r="M62" i="1" a="1"/>
  <c r="M62" i="1" s="1"/>
  <c r="N62" i="1" s="1"/>
  <c r="M63" i="1" a="1"/>
  <c r="M63" i="1" s="1"/>
  <c r="N63" i="1" s="1"/>
  <c r="M64" i="1" a="1"/>
  <c r="M64" i="1" s="1"/>
  <c r="N64" i="1" s="1"/>
  <c r="M65" i="1" a="1"/>
  <c r="M65" i="1" s="1"/>
  <c r="N65" i="1" s="1"/>
  <c r="M66" i="1" a="1"/>
  <c r="M66" i="1" s="1"/>
  <c r="N66" i="1" s="1"/>
  <c r="M67" i="1" a="1"/>
  <c r="M67" i="1" s="1"/>
  <c r="N67" i="1" s="1"/>
  <c r="M68" i="1" a="1"/>
  <c r="M68" i="1" s="1"/>
  <c r="N68" i="1" s="1"/>
  <c r="M69" i="1" a="1"/>
  <c r="M69" i="1" s="1"/>
  <c r="N69" i="1" s="1"/>
  <c r="M70" i="1" a="1"/>
  <c r="M70" i="1"/>
  <c r="N70" i="1" s="1"/>
  <c r="M71" i="1" a="1"/>
  <c r="M71" i="1" s="1"/>
  <c r="N71" i="1" s="1"/>
  <c r="M72" i="1" a="1"/>
  <c r="M72" i="1"/>
  <c r="N72" i="1" s="1"/>
  <c r="M73" i="1" a="1"/>
  <c r="M73" i="1" s="1"/>
  <c r="N73" i="1" s="1"/>
  <c r="M74" i="1" a="1"/>
  <c r="M74" i="1" s="1"/>
  <c r="N74" i="1" s="1"/>
  <c r="M75" i="1" a="1"/>
  <c r="M75" i="1" s="1"/>
  <c r="N75" i="1" s="1"/>
  <c r="M76" i="1" a="1"/>
  <c r="M76" i="1" s="1"/>
  <c r="N76" i="1" s="1"/>
  <c r="M77" i="1" a="1"/>
  <c r="M77" i="1" s="1"/>
  <c r="N77" i="1" s="1"/>
  <c r="M78" i="1" a="1"/>
  <c r="M78" i="1" s="1"/>
  <c r="N78" i="1" s="1"/>
  <c r="M79" i="1" a="1"/>
  <c r="M79" i="1" s="1"/>
  <c r="N79" i="1" s="1"/>
  <c r="M80" i="1" a="1"/>
  <c r="M80" i="1" s="1"/>
  <c r="N80" i="1" s="1"/>
  <c r="M81" i="1" a="1"/>
  <c r="M81" i="1" s="1"/>
  <c r="N81" i="1" s="1"/>
  <c r="M82" i="1" a="1"/>
  <c r="M82" i="1" s="1"/>
  <c r="N82" i="1" s="1"/>
  <c r="M83" i="1" a="1"/>
  <c r="M83" i="1" s="1"/>
  <c r="N83" i="1" s="1"/>
  <c r="M84" i="1" a="1"/>
  <c r="M84" i="1" s="1"/>
  <c r="N84" i="1" s="1"/>
  <c r="M85" i="1" a="1"/>
  <c r="M85" i="1" s="1"/>
  <c r="N85" i="1" s="1"/>
  <c r="M86" i="1" a="1"/>
  <c r="M86" i="1" s="1"/>
  <c r="N86" i="1" s="1"/>
  <c r="M87" i="1" a="1"/>
  <c r="M87" i="1" s="1"/>
  <c r="N87" i="1" s="1"/>
  <c r="M88" i="1" a="1"/>
  <c r="M88" i="1" s="1"/>
  <c r="N88" i="1" s="1"/>
  <c r="M89" i="1" a="1"/>
  <c r="M89" i="1" s="1"/>
  <c r="N89" i="1" s="1"/>
  <c r="M90" i="1" a="1"/>
  <c r="M90" i="1" s="1"/>
  <c r="N90" i="1" s="1"/>
  <c r="M91" i="1" a="1"/>
  <c r="M91" i="1" s="1"/>
  <c r="N91" i="1" s="1"/>
  <c r="M92" i="1" a="1"/>
  <c r="M92" i="1" s="1"/>
  <c r="N92" i="1" s="1"/>
  <c r="M93" i="1" a="1"/>
  <c r="M93" i="1" s="1"/>
  <c r="N93" i="1" s="1"/>
  <c r="M94" i="1" a="1"/>
  <c r="M94" i="1" s="1"/>
  <c r="N94" i="1" s="1"/>
  <c r="M95" i="1" a="1"/>
  <c r="M95" i="1" s="1"/>
  <c r="N95" i="1" s="1"/>
  <c r="M96" i="1" a="1"/>
  <c r="M96" i="1" s="1"/>
  <c r="N96" i="1" s="1"/>
  <c r="M97" i="1" a="1"/>
  <c r="M97" i="1" s="1"/>
  <c r="N97" i="1" s="1"/>
  <c r="M98" i="1" a="1"/>
  <c r="M98" i="1" s="1"/>
  <c r="N98" i="1" s="1"/>
  <c r="M99" i="1" a="1"/>
  <c r="M99" i="1" s="1"/>
  <c r="N99" i="1" s="1"/>
  <c r="M100" i="1" a="1"/>
  <c r="M100" i="1" s="1"/>
  <c r="N100" i="1" s="1"/>
  <c r="M101" i="1" a="1"/>
  <c r="M101" i="1" s="1"/>
  <c r="N101" i="1" s="1"/>
  <c r="M102" i="1" a="1"/>
  <c r="M102" i="1"/>
  <c r="N102" i="1" s="1"/>
  <c r="M103" i="1" a="1"/>
  <c r="M103" i="1" s="1"/>
  <c r="N103" i="1" s="1"/>
  <c r="M104" i="1" a="1"/>
  <c r="M104" i="1"/>
  <c r="N104" i="1" s="1"/>
  <c r="M105" i="1" a="1"/>
  <c r="M105" i="1" s="1"/>
  <c r="N105" i="1" s="1"/>
  <c r="M106" i="1" a="1"/>
  <c r="M106" i="1" s="1"/>
  <c r="N106" i="1" s="1"/>
  <c r="M107" i="1" a="1"/>
  <c r="M107" i="1" s="1"/>
  <c r="N107" i="1" s="1"/>
  <c r="M108" i="1" a="1"/>
  <c r="M108" i="1" s="1"/>
  <c r="N108" i="1" s="1"/>
  <c r="M109" i="1" a="1"/>
  <c r="M109" i="1" s="1"/>
  <c r="N109" i="1" s="1"/>
  <c r="M110" i="1" a="1"/>
  <c r="M110" i="1" s="1"/>
  <c r="N110" i="1" s="1"/>
  <c r="M111" i="1" a="1"/>
  <c r="M111" i="1" s="1"/>
  <c r="N111" i="1" s="1"/>
  <c r="M112" i="1" a="1"/>
  <c r="M112" i="1" s="1"/>
  <c r="N112" i="1" s="1"/>
  <c r="M113" i="1" a="1"/>
  <c r="M113" i="1" s="1"/>
  <c r="N113" i="1" s="1"/>
  <c r="M114" i="1" a="1"/>
  <c r="M114" i="1" s="1"/>
  <c r="N114" i="1" s="1"/>
  <c r="M115" i="1" a="1"/>
  <c r="M115" i="1" s="1"/>
  <c r="N115" i="1" s="1"/>
  <c r="M116" i="1" a="1"/>
  <c r="M116" i="1" s="1"/>
  <c r="N116" i="1" s="1"/>
  <c r="M117" i="1" a="1"/>
  <c r="M117" i="1" s="1"/>
  <c r="N117" i="1" s="1"/>
  <c r="M118" i="1" a="1"/>
  <c r="M118" i="1" s="1"/>
  <c r="N118" i="1" s="1"/>
  <c r="M119" i="1" a="1"/>
  <c r="M119" i="1" s="1"/>
  <c r="N119" i="1" s="1"/>
  <c r="M120" i="1" a="1"/>
  <c r="M120" i="1" s="1"/>
  <c r="N120" i="1" s="1"/>
  <c r="M121" i="1" a="1"/>
  <c r="M121" i="1" s="1"/>
  <c r="N121" i="1" s="1"/>
  <c r="M122" i="1" a="1"/>
  <c r="M122" i="1" s="1"/>
  <c r="N122" i="1" s="1"/>
  <c r="M123" i="1" a="1"/>
  <c r="M123" i="1" s="1"/>
  <c r="N123" i="1" s="1"/>
  <c r="M124" i="1" a="1"/>
  <c r="M124" i="1" s="1"/>
  <c r="N124" i="1" s="1"/>
  <c r="M125" i="1" a="1"/>
  <c r="M125" i="1" s="1"/>
  <c r="N125" i="1" s="1"/>
  <c r="M126" i="1" a="1"/>
  <c r="M126" i="1" s="1"/>
  <c r="N126" i="1" s="1"/>
  <c r="M127" i="1" a="1"/>
  <c r="M127" i="1" s="1"/>
  <c r="N127" i="1" s="1"/>
  <c r="M128" i="1" a="1"/>
  <c r="M128" i="1" s="1"/>
  <c r="N128" i="1" s="1"/>
  <c r="M129" i="1" a="1"/>
  <c r="M129" i="1" s="1"/>
  <c r="N129" i="1" s="1"/>
  <c r="M130" i="1" a="1"/>
  <c r="M130" i="1" s="1"/>
  <c r="N130" i="1" s="1"/>
  <c r="M131" i="1" a="1"/>
  <c r="M131" i="1" s="1"/>
  <c r="N131" i="1" s="1"/>
  <c r="M132" i="1" a="1"/>
  <c r="M132" i="1" s="1"/>
  <c r="N132" i="1" s="1"/>
  <c r="M133" i="1" a="1"/>
  <c r="M133" i="1" s="1"/>
  <c r="N133" i="1" s="1"/>
  <c r="M134" i="1" a="1"/>
  <c r="M134" i="1"/>
  <c r="N134" i="1" s="1"/>
  <c r="M135" i="1" a="1"/>
  <c r="M135" i="1" s="1"/>
  <c r="N135" i="1" s="1"/>
  <c r="M136" i="1" a="1"/>
  <c r="M136" i="1"/>
  <c r="N136" i="1" s="1"/>
  <c r="M137" i="1" a="1"/>
  <c r="M137" i="1" s="1"/>
  <c r="N137" i="1" s="1"/>
  <c r="M138" i="1" a="1"/>
  <c r="M138" i="1" s="1"/>
  <c r="N138" i="1" s="1"/>
  <c r="M139" i="1" a="1"/>
  <c r="M139" i="1" s="1"/>
  <c r="N139" i="1" s="1"/>
  <c r="M140" i="1" a="1"/>
  <c r="M140" i="1" s="1"/>
  <c r="N140" i="1" s="1"/>
  <c r="M141" i="1" a="1"/>
  <c r="M141" i="1" s="1"/>
  <c r="N141" i="1" s="1"/>
  <c r="M142" i="1" a="1"/>
  <c r="M142" i="1" s="1"/>
  <c r="N142" i="1" s="1"/>
  <c r="M143" i="1" a="1"/>
  <c r="M143" i="1" s="1"/>
  <c r="N143" i="1" s="1"/>
  <c r="M144" i="1" a="1"/>
  <c r="M144" i="1" s="1"/>
  <c r="N144" i="1" s="1"/>
  <c r="M145" i="1" a="1"/>
  <c r="M145" i="1" s="1"/>
  <c r="N145" i="1" s="1"/>
  <c r="M146" i="1" a="1"/>
  <c r="M146" i="1" s="1"/>
  <c r="N146" i="1" s="1"/>
  <c r="M147" i="1" a="1"/>
  <c r="M147" i="1" s="1"/>
  <c r="N147" i="1" s="1"/>
  <c r="M148" i="1" a="1"/>
  <c r="M148" i="1" s="1"/>
  <c r="N148" i="1" s="1"/>
  <c r="M149" i="1" a="1"/>
  <c r="M149" i="1" s="1"/>
  <c r="N149" i="1" s="1"/>
  <c r="M150" i="1" a="1"/>
  <c r="M150" i="1" s="1"/>
  <c r="N150" i="1" s="1"/>
  <c r="M2" i="1" a="1"/>
  <c r="M2" i="1" s="1"/>
  <c r="N2" i="1" s="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3" i="1"/>
  <c r="L14" i="1"/>
  <c r="L15" i="1"/>
  <c r="L16" i="1"/>
  <c r="L17" i="1"/>
  <c r="L18" i="1"/>
  <c r="L19" i="1"/>
  <c r="L3" i="1"/>
  <c r="L4" i="1"/>
  <c r="L5" i="1"/>
  <c r="L6" i="1"/>
  <c r="L7" i="1"/>
  <c r="L8" i="1"/>
  <c r="L9" i="1"/>
  <c r="L10" i="1"/>
  <c r="L11" i="1"/>
  <c r="L12" i="1"/>
  <c r="L2"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6" i="1"/>
  <c r="K7" i="1"/>
  <c r="K8" i="1"/>
  <c r="K9" i="1"/>
  <c r="K10" i="1"/>
  <c r="K11" i="1"/>
  <c r="K12" i="1"/>
  <c r="K13" i="1"/>
  <c r="K5" i="1"/>
  <c r="K4" i="1"/>
  <c r="K3" i="1"/>
  <c r="K2" i="1"/>
  <c r="J3" i="1"/>
  <c r="J151"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2" i="1"/>
  <c r="B10" i="4"/>
  <c r="B4" i="4"/>
  <c r="A14" i="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<sst xmlns="http://schemas.openxmlformats.org/spreadsheetml/2006/main" count="865" uniqueCount="246">
  <si>
    <t>Emp ID</t>
  </si>
  <si>
    <t>First_Name</t>
  </si>
  <si>
    <t>Last_Name</t>
  </si>
  <si>
    <t>Dept Code</t>
  </si>
  <si>
    <t>Hire Date</t>
  </si>
  <si>
    <t>Salary</t>
  </si>
  <si>
    <t>Perf_Score</t>
  </si>
  <si>
    <t>Employment Status</t>
  </si>
  <si>
    <t>EMP127</t>
  </si>
  <si>
    <t>Emily</t>
  </si>
  <si>
    <t>Brown</t>
  </si>
  <si>
    <t>IT02</t>
  </si>
  <si>
    <t>EMP046</t>
  </si>
  <si>
    <t>Richard</t>
  </si>
  <si>
    <t>Hernandez</t>
  </si>
  <si>
    <t>MKT04</t>
  </si>
  <si>
    <t>EMP134</t>
  </si>
  <si>
    <t>Gonzalez</t>
  </si>
  <si>
    <t>EMP139</t>
  </si>
  <si>
    <t>John</t>
  </si>
  <si>
    <t>Martinez</t>
  </si>
  <si>
    <t>FIN03</t>
  </si>
  <si>
    <t>EMP112</t>
  </si>
  <si>
    <t>Thomas</t>
  </si>
  <si>
    <t>Smith</t>
  </si>
  <si>
    <t>Left</t>
  </si>
  <si>
    <t>EMP030</t>
  </si>
  <si>
    <t>Johnson</t>
  </si>
  <si>
    <t>OPS06</t>
  </si>
  <si>
    <t>EMP096</t>
  </si>
  <si>
    <t>Wilson</t>
  </si>
  <si>
    <t>EMP098</t>
  </si>
  <si>
    <t>Jessica</t>
  </si>
  <si>
    <t>Rodriguez</t>
  </si>
  <si>
    <t>EMP140</t>
  </si>
  <si>
    <t>Michael</t>
  </si>
  <si>
    <t>SAL05</t>
  </si>
  <si>
    <t>Active</t>
  </si>
  <si>
    <t>EMP020</t>
  </si>
  <si>
    <t>Miller</t>
  </si>
  <si>
    <t>EMP057</t>
  </si>
  <si>
    <t>EMP016</t>
  </si>
  <si>
    <t>Jane</t>
  </si>
  <si>
    <t>Williams</t>
  </si>
  <si>
    <t>EMP070</t>
  </si>
  <si>
    <t>EMP025</t>
  </si>
  <si>
    <t>Robert</t>
  </si>
  <si>
    <t>Jones</t>
  </si>
  <si>
    <t>EMP031</t>
  </si>
  <si>
    <t>EMP126</t>
  </si>
  <si>
    <t>Davis</t>
  </si>
  <si>
    <t>EMP109</t>
  </si>
  <si>
    <t>James</t>
  </si>
  <si>
    <t>EMP066</t>
  </si>
  <si>
    <t>Ashley</t>
  </si>
  <si>
    <t>Lopez</t>
  </si>
  <si>
    <t>EMP120</t>
  </si>
  <si>
    <t>Amanda</t>
  </si>
  <si>
    <t>EMP019</t>
  </si>
  <si>
    <t>EMP013</t>
  </si>
  <si>
    <t>EMP010</t>
  </si>
  <si>
    <t>EMP032</t>
  </si>
  <si>
    <t>EMP082</t>
  </si>
  <si>
    <t>EMP052</t>
  </si>
  <si>
    <t>EMP129</t>
  </si>
  <si>
    <t>EMP146</t>
  </si>
  <si>
    <t>EMP099</t>
  </si>
  <si>
    <t>EMP015</t>
  </si>
  <si>
    <t>EMP076</t>
  </si>
  <si>
    <t>EMP137</t>
  </si>
  <si>
    <t>EMP056</t>
  </si>
  <si>
    <t>Sarah</t>
  </si>
  <si>
    <t>EMP125</t>
  </si>
  <si>
    <t>HR01</t>
  </si>
  <si>
    <t>EMP085</t>
  </si>
  <si>
    <t>EMP106</t>
  </si>
  <si>
    <t>EMP043</t>
  </si>
  <si>
    <t>EMP068</t>
  </si>
  <si>
    <t>Melissa</t>
  </si>
  <si>
    <t>EMP128</t>
  </si>
  <si>
    <t>EMP027</t>
  </si>
  <si>
    <t>EMP136</t>
  </si>
  <si>
    <t>EMP079</t>
  </si>
  <si>
    <t>David</t>
  </si>
  <si>
    <t>EMP149</t>
  </si>
  <si>
    <t>Resigned</t>
  </si>
  <si>
    <t>EMP037</t>
  </si>
  <si>
    <t>EMP077</t>
  </si>
  <si>
    <t>EMP023</t>
  </si>
  <si>
    <t>EMP133</t>
  </si>
  <si>
    <t>EMP141</t>
  </si>
  <si>
    <t>EMP012</t>
  </si>
  <si>
    <t>EMP080</t>
  </si>
  <si>
    <t>EMP069</t>
  </si>
  <si>
    <t>EMP150</t>
  </si>
  <si>
    <t>EMP028</t>
  </si>
  <si>
    <t>EMP087</t>
  </si>
  <si>
    <t>EMP119</t>
  </si>
  <si>
    <t>Garcia</t>
  </si>
  <si>
    <t>EMP042</t>
  </si>
  <si>
    <t>Anderson</t>
  </si>
  <si>
    <t>EMP005</t>
  </si>
  <si>
    <t>EMP033</t>
  </si>
  <si>
    <t>EMP061</t>
  </si>
  <si>
    <t>EMP102</t>
  </si>
  <si>
    <t>EMP067</t>
  </si>
  <si>
    <t>EMP017</t>
  </si>
  <si>
    <t>EMP123</t>
  </si>
  <si>
    <t>EMP011</t>
  </si>
  <si>
    <t>EMP091</t>
  </si>
  <si>
    <t>EMP145</t>
  </si>
  <si>
    <t>EMP001</t>
  </si>
  <si>
    <t>EMP113</t>
  </si>
  <si>
    <t>EMP065</t>
  </si>
  <si>
    <t>EMP045</t>
  </si>
  <si>
    <t>EMP083</t>
  </si>
  <si>
    <t>William</t>
  </si>
  <si>
    <t>EMP029</t>
  </si>
  <si>
    <t>EMP041</t>
  </si>
  <si>
    <t>EMP026</t>
  </si>
  <si>
    <t>EMP024</t>
  </si>
  <si>
    <t>EMP111</t>
  </si>
  <si>
    <t>EMP040</t>
  </si>
  <si>
    <t>EMP086</t>
  </si>
  <si>
    <t>EMP124</t>
  </si>
  <si>
    <t>EMP132</t>
  </si>
  <si>
    <t>EMP048</t>
  </si>
  <si>
    <t>EMP114</t>
  </si>
  <si>
    <t>EMP062</t>
  </si>
  <si>
    <t>EMP074</t>
  </si>
  <si>
    <t>EMP034</t>
  </si>
  <si>
    <t>EMP105</t>
  </si>
  <si>
    <t>EMP118</t>
  </si>
  <si>
    <t>EMP063</t>
  </si>
  <si>
    <t>EMP094</t>
  </si>
  <si>
    <t>EMP097</t>
  </si>
  <si>
    <t>EMP054</t>
  </si>
  <si>
    <t>EMP006</t>
  </si>
  <si>
    <t>EMP110</t>
  </si>
  <si>
    <t>EMP147</t>
  </si>
  <si>
    <t>EMP050</t>
  </si>
  <si>
    <t>EMP036</t>
  </si>
  <si>
    <t>EMP081</t>
  </si>
  <si>
    <t>EMP078</t>
  </si>
  <si>
    <t>EMP035</t>
  </si>
  <si>
    <t>EMP047</t>
  </si>
  <si>
    <t>EMP008</t>
  </si>
  <si>
    <t>EMP044</t>
  </si>
  <si>
    <t>EMP071</t>
  </si>
  <si>
    <t>EMP115</t>
  </si>
  <si>
    <t>EMP092</t>
  </si>
  <si>
    <t>EMP084</t>
  </si>
  <si>
    <t>EMP142</t>
  </si>
  <si>
    <t>EMP143</t>
  </si>
  <si>
    <t>EMP090</t>
  </si>
  <si>
    <t>EMP009</t>
  </si>
  <si>
    <t>EMP014</t>
  </si>
  <si>
    <t>EMP060</t>
  </si>
  <si>
    <t>EMP135</t>
  </si>
  <si>
    <t>EMP004</t>
  </si>
  <si>
    <t>EMP018</t>
  </si>
  <si>
    <t>EMP039</t>
  </si>
  <si>
    <t>EMP073</t>
  </si>
  <si>
    <t>EMP138</t>
  </si>
  <si>
    <t>EMP007</t>
  </si>
  <si>
    <t>EMP144</t>
  </si>
  <si>
    <t>EMP101</t>
  </si>
  <si>
    <t>EMP003</t>
  </si>
  <si>
    <t>EMP121</t>
  </si>
  <si>
    <t>EMP064</t>
  </si>
  <si>
    <t>EMP116</t>
  </si>
  <si>
    <t>EMP055</t>
  </si>
  <si>
    <t>EMP108</t>
  </si>
  <si>
    <t>EMP051</t>
  </si>
  <si>
    <t>EMP059</t>
  </si>
  <si>
    <t>EMP049</t>
  </si>
  <si>
    <t>EMP089</t>
  </si>
  <si>
    <t>EMP022</t>
  </si>
  <si>
    <t>EMP058</t>
  </si>
  <si>
    <t>EMP130</t>
  </si>
  <si>
    <t>EMP038</t>
  </si>
  <si>
    <t>EMP148</t>
  </si>
  <si>
    <t>EMP002</t>
  </si>
  <si>
    <t>EMP053</t>
  </si>
  <si>
    <t>EMP131</t>
  </si>
  <si>
    <t>EMP104</t>
  </si>
  <si>
    <t>EMP100</t>
  </si>
  <si>
    <t>EMP117</t>
  </si>
  <si>
    <t>EMP088</t>
  </si>
  <si>
    <t>EMP075</t>
  </si>
  <si>
    <t>EMP122</t>
  </si>
  <si>
    <t>EMP021</t>
  </si>
  <si>
    <t>EMP072</t>
  </si>
  <si>
    <t>EMP107</t>
  </si>
  <si>
    <t>EMP093</t>
  </si>
  <si>
    <t>EMP103</t>
  </si>
  <si>
    <t>Dept_Code</t>
  </si>
  <si>
    <t>Department_Name</t>
  </si>
  <si>
    <t>Human Resources</t>
  </si>
  <si>
    <t>Information Technology</t>
  </si>
  <si>
    <t>Finance</t>
  </si>
  <si>
    <t>Marketing</t>
  </si>
  <si>
    <t>Sales</t>
  </si>
  <si>
    <t>Operations</t>
  </si>
  <si>
    <t>Min_Score</t>
  </si>
  <si>
    <t>Max_Score</t>
  </si>
  <si>
    <t>Performance_Band</t>
  </si>
  <si>
    <t>Bonus_Percentage</t>
  </si>
  <si>
    <t>Needs Improvement</t>
  </si>
  <si>
    <t>Developing</t>
  </si>
  <si>
    <t>Achieving</t>
  </si>
  <si>
    <t>Exceeding</t>
  </si>
  <si>
    <t>Outstanding</t>
  </si>
  <si>
    <t>Full Name</t>
  </si>
  <si>
    <t>Department Name</t>
  </si>
  <si>
    <t>Dept_code</t>
  </si>
  <si>
    <t>Years of Service</t>
  </si>
  <si>
    <t>Performance Band</t>
  </si>
  <si>
    <t>Eligible Bonus Amount</t>
  </si>
  <si>
    <t>Count of Emp ID</t>
  </si>
  <si>
    <t>Average of Salary</t>
  </si>
  <si>
    <t>Headcount &amp; Average Salary by Department</t>
  </si>
  <si>
    <t>Count of Employee</t>
  </si>
  <si>
    <t>Average Salary</t>
  </si>
  <si>
    <t>Attrition Rate by Department</t>
  </si>
  <si>
    <t>Employment Stataus</t>
  </si>
  <si>
    <t>Attrition Rate (%)</t>
  </si>
  <si>
    <t>Performance by Status</t>
  </si>
  <si>
    <t>Bonus Payout</t>
  </si>
  <si>
    <t>Sum of Eligible Bonus Amount</t>
  </si>
  <si>
    <t>2015</t>
  </si>
  <si>
    <t>2016</t>
  </si>
  <si>
    <t>2017</t>
  </si>
  <si>
    <t>2018</t>
  </si>
  <si>
    <t>2019</t>
  </si>
  <si>
    <t>2020</t>
  </si>
  <si>
    <t>2021</t>
  </si>
  <si>
    <t>2022</t>
  </si>
  <si>
    <t>2023</t>
  </si>
  <si>
    <t>Years</t>
  </si>
  <si>
    <t>Headcount  by Department</t>
  </si>
  <si>
    <t>Performance by Employment Status</t>
  </si>
  <si>
    <t>Average of Perf. Score</t>
  </si>
  <si>
    <t>Bonus Payout by Performance Band</t>
  </si>
  <si>
    <t>Total Employees</t>
  </si>
  <si>
    <t>Overall Attrition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</si>
</sst>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8" x14ac:knownFonts="1">
    <font>
      <sz val="11"/>
      <color theme="1"/>
      <name val="Calibri"/>
      <family val="2"/>
      <scheme val="minor"/>
    </font>
    <font>
      <b/>
      <sz val="11"/>
      <name val="Calibri"/>
      <family val="2"/>
    </font>
    <font>
      <b/>
      <sz val="11"/>
      <color theme="1"/>
      <name val="Calibri"/>
      <family val="2"/>
      <scheme val="minor"/>
    </font>
    <font>
      <sz val="11"/>
      <color theme="1"/>
      <name val="Calibri"/>
      <family val="2"/>
      <scheme val="minor"/>
    </font>
    <font>
      <b/>
      <sz val="11"/>
      <color theme="0"/>
      <name val="Calibri"/>
      <family val="2"/>
      <scheme val="minor"/>
    </font>
    <font>
      <b/>
      <sz val="12"/>
      <color theme="1"/>
      <name val="Times New Roman"/>
      <family val="1"/>
    </font>
    <font>
      <b/>
      <sz val="12"/>
      <color theme="0"/>
      <name val="Times New Roman"/>
      <family val="1"/>
    </font>
    <font>
      <b/>
      <sz val="11"/>
      <color theme="0"/>
      <name val="Calibri"/>
      <family val="2"/>
    </font>
  </fonts>
  <fills count="9">
    <fill>
      <patternFill patternType="none"/>
    </fill>
    <fill>
      <patternFill patternType="gray125"/>
    </fill>
    <fill>
      <patternFill patternType="solid">
        <fgColor theme="3" tint="-0.249977111117893"/>
        <bgColor indexed="64"/>
      </patternFill>
    </fill>
    <fill>
      <patternFill patternType="solid">
        <fgColor theme="4" tint="-0.499984740745262"/>
        <bgColor theme="4" tint="-0.499984740745262"/>
      </patternFill>
    </fill>
    <fill>
      <patternFill patternType="solid">
        <fgColor theme="4" tint="0.59999389629810485"/>
        <bgColor theme="4" tint="0.59999389629810485"/>
      </patternFill>
    </fill>
    <fill>
      <patternFill patternType="solid">
        <fgColor theme="4" tint="-0.499984740745262"/>
        <bgColor indexed="64"/>
      </patternFill>
    </fill>
    <fill>
      <patternFill patternType="solid">
        <fgColor theme="4" tint="0.59999389629810485"/>
        <bgColor indexed="64"/>
      </patternFill>
    </fill>
    <fill>
      <patternFill patternType="solid">
        <fgColor theme="0"/>
        <bgColor indexed="64"/>
      </patternFill>
    </fill>
    <fill>
      <patternFill patternType="solid">
        <fgColor theme="4" tint="-0.249977111117893"/>
        <bgColor indexed="64"/>
      </patternFill>
    </fill>
  </fills>
  <borders count="5">
    <border>
      <left/>
      <right/>
      <top/>
      <bottom/>
      <diagonal/>
    </border>
    <border>
      <left style="thin">
        <color auto="1"/>
      </left>
      <right style="thin">
        <color auto="1"/>
      </right>
      <top style="thin">
        <color auto="1"/>
      </top>
      <bottom style="thin">
        <color auto="1"/>
      </bottom>
      <diagonal/>
    </border>
    <border>
      <left/>
      <right/>
      <top style="thin">
        <color theme="4" tint="0.79998168889431442"/>
      </top>
      <bottom style="thin">
        <color theme="4" tint="0.79998168889431442"/>
      </bottom>
      <diagonal/>
    </border>
    <border>
      <left/>
      <right/>
      <top style="thin">
        <color theme="4" tint="0.79998168889431442"/>
      </top>
      <bottom/>
      <diagonal/>
    </border>
    <border>
      <left/>
      <right/>
      <top style="thin">
        <color theme="4" tint="-0.499984740745262"/>
      </top>
      <bottom style="thin">
        <color theme="4"/>
      </bottom>
      <diagonal/>
    </border>
  </borders>
  <cellStyleXfs count="2">
    <xf numFmtId="0" fontId="0" fillId="0" borderId="0"/>
    <xf numFmtId="9" fontId="3" fillId="0" borderId="0" applyFont="0" applyFill="0" applyBorder="0" applyAlignment="0" applyProtection="0"/>
  </cellStyleXfs>
  <cellXfs count="36">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applyAlignment="1">
      <alignment horizontal="right"/>
    </xf>
    <xf numFmtId="1" fontId="0" fillId="0" borderId="0" xfId="0" applyNumberFormat="1"/>
    <xf numFmtId="14" fontId="0" fillId="0" borderId="0" xfId="0" applyNumberFormat="1" applyAlignment="1">
      <alignment horizontal="right"/>
    </xf>
    <xf numFmtId="0" fontId="2" fillId="0" borderId="0" xfId="0" applyFont="1"/>
    <xf numFmtId="0" fontId="0" fillId="0" borderId="0" xfId="0"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6" fillId="2" borderId="0" xfId="0" applyFont="1" applyFill="1" applyAlignment="1">
      <alignment horizontal="center"/>
    </xf>
    <xf numFmtId="165" fontId="0" fillId="0" borderId="0" xfId="0" applyNumberFormat="1"/>
    <xf numFmtId="0" fontId="4" fillId="3" borderId="4" xfId="0" applyFont="1" applyFill="1" applyBorder="1"/>
    <xf numFmtId="0" fontId="4" fillId="5" borderId="0" xfId="0" applyFont="1" applyFill="1" applyAlignment="1">
      <alignment horizontal="center"/>
    </xf>
    <xf numFmtId="2" fontId="0" fillId="0" borderId="0" xfId="0" applyNumberFormat="1"/>
    <xf numFmtId="0" fontId="6" fillId="7" borderId="0" xfId="0" applyFont="1" applyFill="1" applyAlignment="1"/>
    <xf numFmtId="0" fontId="6" fillId="7" borderId="0" xfId="0" applyFont="1" applyFill="1" applyAlignment="1">
      <alignment horizontal="center"/>
    </xf>
    <xf numFmtId="0" fontId="5" fillId="0" borderId="0" xfId="0" pivotButton="1" applyFont="1" applyAlignment="1">
      <alignment horizontal="center"/>
    </xf>
    <xf numFmtId="0" fontId="6" fillId="5" borderId="0" xfId="0" applyFont="1" applyFill="1" applyAlignment="1">
      <alignment horizontal="center" vertical="center"/>
    </xf>
    <xf numFmtId="0" fontId="6" fillId="5" borderId="0" xfId="0" applyFont="1" applyFill="1" applyAlignment="1">
      <alignment horizontal="center"/>
    </xf>
    <xf numFmtId="0" fontId="0" fillId="4" borderId="2" xfId="0" applyFont="1" applyFill="1" applyBorder="1" applyAlignment="1">
      <alignment horizontal="left"/>
    </xf>
    <xf numFmtId="0" fontId="0" fillId="4" borderId="3" xfId="0" applyFont="1" applyFill="1" applyBorder="1" applyAlignment="1">
      <alignment horizontal="left"/>
    </xf>
    <xf numFmtId="2" fontId="4" fillId="5" borderId="0" xfId="0" applyNumberFormat="1" applyFont="1" applyFill="1"/>
    <xf numFmtId="1" fontId="0" fillId="6" borderId="0" xfId="0" applyNumberFormat="1" applyFill="1"/>
    <xf numFmtId="0" fontId="7" fillId="8" borderId="1" xfId="0" applyFont="1" applyFill="1" applyBorder="1" applyAlignment="1">
      <alignment horizontal="center" vertical="top"/>
    </xf>
    <xf numFmtId="14" fontId="7" fillId="8" borderId="1" xfId="0" applyNumberFormat="1" applyFont="1" applyFill="1" applyBorder="1" applyAlignment="1">
      <alignment horizontal="right" vertical="top"/>
    </xf>
    <xf numFmtId="165" fontId="7" fillId="8" borderId="1" xfId="0" applyNumberFormat="1" applyFont="1" applyFill="1" applyBorder="1" applyAlignment="1">
      <alignment horizontal="right" vertical="top"/>
    </xf>
    <xf numFmtId="1" fontId="7" fillId="8" borderId="1" xfId="0" applyNumberFormat="1" applyFont="1" applyFill="1" applyBorder="1" applyAlignment="1">
      <alignment horizontal="center" vertical="top"/>
    </xf>
    <xf numFmtId="0" fontId="4" fillId="8" borderId="0" xfId="0" applyFont="1" applyFill="1" applyAlignment="1">
      <alignment horizontal="center" vertical="top"/>
    </xf>
    <xf numFmtId="1" fontId="4" fillId="8" borderId="0" xfId="0" applyNumberFormat="1" applyFont="1" applyFill="1" applyAlignment="1">
      <alignment horizontal="center" vertical="top"/>
    </xf>
    <xf numFmtId="164" fontId="4" fillId="8" borderId="0" xfId="0" applyNumberFormat="1" applyFont="1" applyFill="1" applyAlignment="1">
      <alignment horizontal="center" vertical="top"/>
    </xf>
    <xf numFmtId="0" fontId="6" fillId="0" borderId="0" xfId="0" applyFont="1" applyFill="1"/>
    <xf numFmtId="0" fontId="6" fillId="5" borderId="0" xfId="0" applyFont="1" applyFill="1"/>
    <xf numFmtId="9" fontId="0" fillId="0" borderId="0" xfId="1" applyFont="1"/>
    <xf numFmtId="9" fontId="0" fillId="6" borderId="0" xfId="1" applyFont="1" applyFill="1"/>
  </cellXfs>
  <cellStyles count="2">
    <cellStyle name="Normal" xfId="0" builtinId="0"/>
    <cellStyle name="Percent" xfId="1" builtinId="5"/>
  </cellStyles>
  <dxfs count="106">
    <dxf>
      <numFmt numFmtId="165" formatCode="&quot;$&quot;#,##0"/>
    </dxf>
    <dxf>
      <numFmt numFmtId="1" formatCode="0"/>
    </dxf>
    <dxf>
      <numFmt numFmtId="165" formatCode="&quot;$&quot;#,##0"/>
    </dxf>
    <dxf>
      <numFmt numFmtId="2" formatCode="0.00"/>
    </dxf>
    <dxf>
      <numFmt numFmtId="165" formatCode="&quot;$&quot;#,##0"/>
    </dxf>
    <dxf>
      <alignment horizontal="center"/>
    </dxf>
    <dxf>
      <font>
        <name val="Times New Roman"/>
        <family val="1"/>
        <scheme val="none"/>
      </font>
    </dxf>
    <dxf>
      <font>
        <sz val="12"/>
      </font>
    </dxf>
    <dxf>
      <font>
        <b/>
      </font>
    </dxf>
    <dxf>
      <numFmt numFmtId="1" formatCode="0"/>
    </dxf>
    <dxf>
      <numFmt numFmtId="165" formatCode="&quot;$&quot;#,##0"/>
    </dxf>
    <dxf>
      <numFmt numFmtId="1" formatCode="0"/>
    </dxf>
    <dxf>
      <numFmt numFmtId="165" formatCode="&quot;$&quot;#,##0"/>
    </dxf>
    <dxf>
      <numFmt numFmtId="2" formatCode="0.00"/>
    </dxf>
    <dxf>
      <numFmt numFmtId="165" formatCode="&quot;$&quot;#,##0"/>
    </dxf>
    <dxf>
      <alignment horizontal="center"/>
    </dxf>
    <dxf>
      <font>
        <name val="Times New Roman"/>
        <family val="1"/>
        <scheme val="none"/>
      </font>
    </dxf>
    <dxf>
      <font>
        <sz val="12"/>
      </font>
    </dxf>
    <dxf>
      <font>
        <b/>
      </font>
    </dxf>
    <dxf>
      <numFmt numFmtId="1" formatCode="0"/>
    </dxf>
    <dxf>
      <numFmt numFmtId="165" formatCode="&quot;$&quot;#,##0"/>
    </dxf>
    <dxf>
      <numFmt numFmtId="1" formatCode="0"/>
    </dxf>
    <dxf>
      <numFmt numFmtId="165" formatCode="&quot;$&quot;#,##0"/>
    </dxf>
    <dxf>
      <numFmt numFmtId="2" formatCode="0.00"/>
    </dxf>
    <dxf>
      <numFmt numFmtId="165" formatCode="&quot;$&quot;#,##0"/>
    </dxf>
    <dxf>
      <alignment horizontal="center"/>
    </dxf>
    <dxf>
      <font>
        <name val="Times New Roman"/>
        <family val="1"/>
        <scheme val="none"/>
      </font>
    </dxf>
    <dxf>
      <font>
        <sz val="12"/>
      </font>
    </dxf>
    <dxf>
      <font>
        <b/>
      </font>
    </dxf>
    <dxf>
      <numFmt numFmtId="1" formatCode="0"/>
    </dxf>
    <dxf>
      <numFmt numFmtId="165" formatCode="&quot;$&quot;#,##0"/>
    </dxf>
    <dxf>
      <numFmt numFmtId="1" formatCode="0"/>
    </dxf>
    <dxf>
      <numFmt numFmtId="165" formatCode="&quot;$&quot;#,##0"/>
    </dxf>
    <dxf>
      <numFmt numFmtId="2" formatCode="0.00"/>
    </dxf>
    <dxf>
      <numFmt numFmtId="165" formatCode="&quot;$&quot;#,##0"/>
    </dxf>
    <dxf>
      <alignment horizontal="center"/>
    </dxf>
    <dxf>
      <font>
        <name val="Times New Roman"/>
        <family val="1"/>
        <scheme val="none"/>
      </font>
    </dxf>
    <dxf>
      <font>
        <sz val="12"/>
      </font>
    </dxf>
    <dxf>
      <font>
        <b/>
      </font>
    </dxf>
    <dxf>
      <numFmt numFmtId="1" formatCode="0"/>
    </dxf>
    <dxf>
      <numFmt numFmtId="165" formatCode="&quot;$&quot;#,##0"/>
    </dxf>
    <dxf>
      <numFmt numFmtId="1" formatCode="0"/>
    </dxf>
    <dxf>
      <numFmt numFmtId="165" formatCode="&quot;$&quot;#,##0"/>
    </dxf>
    <dxf>
      <numFmt numFmtId="2" formatCode="0.00"/>
    </dxf>
    <dxf>
      <numFmt numFmtId="165" formatCode="&quot;$&quot;#,##0"/>
    </dxf>
    <dxf>
      <alignment horizontal="center"/>
    </dxf>
    <dxf>
      <font>
        <name val="Times New Roman"/>
        <family val="1"/>
        <scheme val="none"/>
      </font>
    </dxf>
    <dxf>
      <font>
        <sz val="12"/>
      </font>
    </dxf>
    <dxf>
      <font>
        <b/>
      </font>
    </dxf>
    <dxf>
      <numFmt numFmtId="1" formatCode="0"/>
    </dxf>
    <dxf>
      <numFmt numFmtId="165" formatCode="&quot;$&quot;#,##0"/>
    </dxf>
    <dxf>
      <numFmt numFmtId="1" formatCode="0"/>
    </dxf>
    <dxf>
      <numFmt numFmtId="165" formatCode="&quot;$&quot;#,##0"/>
    </dxf>
    <dxf>
      <numFmt numFmtId="2" formatCode="0.00"/>
    </dxf>
    <dxf>
      <numFmt numFmtId="165" formatCode="&quot;$&quot;#,##0"/>
    </dxf>
    <dxf>
      <alignment horizontal="center"/>
    </dxf>
    <dxf>
      <font>
        <name val="Times New Roman"/>
        <family val="1"/>
        <scheme val="none"/>
      </font>
    </dxf>
    <dxf>
      <font>
        <sz val="12"/>
      </font>
    </dxf>
    <dxf>
      <font>
        <b/>
      </font>
    </dxf>
    <dxf>
      <numFmt numFmtId="1" formatCode="0"/>
    </dxf>
    <dxf>
      <numFmt numFmtId="165" formatCode="&quot;$&quot;#,##0"/>
    </dxf>
    <dxf>
      <numFmt numFmtId="1" formatCode="0"/>
    </dxf>
    <dxf>
      <numFmt numFmtId="165" formatCode="&quot;$&quot;#,##0"/>
    </dxf>
    <dxf>
      <numFmt numFmtId="2" formatCode="0.00"/>
    </dxf>
    <dxf>
      <numFmt numFmtId="165" formatCode="&quot;$&quot;#,##0"/>
    </dxf>
    <dxf>
      <alignment horizontal="center"/>
    </dxf>
    <dxf>
      <font>
        <name val="Times New Roman"/>
        <family val="1"/>
        <scheme val="none"/>
      </font>
    </dxf>
    <dxf>
      <font>
        <sz val="12"/>
      </font>
    </dxf>
    <dxf>
      <font>
        <b/>
      </font>
    </dxf>
    <dxf>
      <numFmt numFmtId="1" formatCode="0"/>
    </dxf>
    <dxf>
      <numFmt numFmtId="165" formatCode="&quot;$&quot;#,##0"/>
    </dxf>
    <dxf>
      <numFmt numFmtId="1" formatCode="0"/>
    </dxf>
    <dxf>
      <numFmt numFmtId="165" formatCode="&quot;$&quot;#,##0"/>
    </dxf>
    <dxf>
      <numFmt numFmtId="2" formatCode="0.00"/>
    </dxf>
    <dxf>
      <numFmt numFmtId="165" formatCode="&quot;$&quot;#,##0"/>
    </dxf>
    <dxf>
      <alignment horizontal="center"/>
    </dxf>
    <dxf>
      <font>
        <name val="Times New Roman"/>
        <family val="1"/>
        <scheme val="none"/>
      </font>
    </dxf>
    <dxf>
      <font>
        <sz val="12"/>
      </font>
    </dxf>
    <dxf>
      <font>
        <b/>
      </font>
    </dxf>
    <dxf>
      <numFmt numFmtId="1" formatCode="0"/>
    </dxf>
    <dxf>
      <numFmt numFmtId="165" formatCode="&quot;$&quot;#,##0"/>
    </dxf>
    <dxf>
      <numFmt numFmtId="1" formatCode="0"/>
    </dxf>
    <dxf>
      <numFmt numFmtId="165" formatCode="&quot;$&quot;#,##0"/>
    </dxf>
    <dxf>
      <numFmt numFmtId="2" formatCode="0.00"/>
    </dxf>
    <dxf>
      <numFmt numFmtId="165" formatCode="&quot;$&quot;#,##0"/>
    </dxf>
    <dxf>
      <alignment horizontal="center"/>
    </dxf>
    <dxf>
      <font>
        <name val="Times New Roman"/>
        <family val="1"/>
        <scheme val="none"/>
      </font>
    </dxf>
    <dxf>
      <font>
        <sz val="12"/>
      </font>
    </dxf>
    <dxf>
      <font>
        <b/>
      </font>
    </dxf>
    <dxf>
      <numFmt numFmtId="1" formatCode="0"/>
    </dxf>
    <dxf>
      <numFmt numFmtId="172" formatCode="&quot;$&quot;#,##0.0"/>
    </dxf>
    <dxf>
      <numFmt numFmtId="165" formatCode="&quot;$&quot;#,##0"/>
    </dxf>
    <dxf>
      <numFmt numFmtId="172" formatCode="&quot;$&quot;#,##0.0"/>
    </dxf>
    <dxf>
      <numFmt numFmtId="164" formatCode="&quot;$&quot;#,##0.00"/>
    </dxf>
    <dxf>
      <numFmt numFmtId="164" formatCode="&quot;$&quot;#,##0.00"/>
    </dxf>
    <dxf>
      <numFmt numFmtId="165" formatCode="&quot;$&quot;#,##0"/>
    </dxf>
    <dxf>
      <numFmt numFmtId="1" formatCode="0"/>
    </dxf>
    <dxf>
      <numFmt numFmtId="1" formatCode="0"/>
    </dxf>
    <dxf>
      <numFmt numFmtId="165" formatCode="&quot;$&quot;#,##0"/>
    </dxf>
    <dxf>
      <alignment horizontal="center"/>
    </dxf>
    <dxf>
      <font>
        <name val="Times New Roman"/>
        <family val="1"/>
        <scheme val="none"/>
      </font>
    </dxf>
    <dxf>
      <font>
        <sz val="12"/>
      </font>
    </dxf>
    <dxf>
      <font>
        <b/>
      </font>
    </dxf>
    <dxf>
      <font>
        <b/>
        <i val="0"/>
        <color theme="0"/>
      </font>
    </dxf>
    <dxf>
      <font>
        <color theme="4" tint="-0.499984740745262"/>
      </font>
      <fill>
        <patternFill>
          <bgColor theme="3"/>
        </patternFill>
      </fill>
    </dxf>
    <dxf>
      <numFmt numFmtId="2" formatCode="0.00"/>
    </dxf>
  </dxfs>
  <tableStyles count="1" defaultTableStyle="TableStyleMedium9" defaultPivotStyle="PivotStyleLight16">
    <tableStyle name="Slicer Style 1" pivot="0" table="0" count="8" xr9:uid="{AB301096-DCB3-44ED-9C27-2FF0C4B4994F}">
      <tableStyleElement type="wholeTable" dxfId="104"/>
      <tableStyleElement type="headerRow" dxfId="103"/>
    </tableStyle>
  </tableStyles>
  <colors>
    <mruColors>
      <color rgb="FF376092"/>
      <color rgb="FF254061"/>
    </mruColors>
  </colors>
  <extLst>
    <ext xmlns:x14="http://schemas.microsoft.com/office/spreadsheetml/2009/9/main" uri="{46F421CA-312F-682f-3DD2-61675219B42D}">
      <x14:dxfs count="6">
        <dxf>
          <font>
            <color theme="4" tint="-0.499984740745262"/>
          </font>
          <fill>
            <patternFill>
              <bgColor theme="9" tint="0.39994506668294322"/>
            </patternFill>
          </fill>
        </dxf>
        <dxf>
          <fill>
            <patternFill>
              <bgColor theme="0"/>
            </patternFill>
          </fill>
        </dxf>
        <dxf>
          <fill>
            <patternFill>
              <bgColor theme="0"/>
            </patternFill>
          </fill>
        </dxf>
        <dxf>
          <font>
            <b val="0"/>
            <i val="0"/>
            <color theme="4" tint="-0.499984740745262"/>
          </font>
          <fill>
            <patternFill>
              <bgColor theme="0" tint="-4.9989318521683403E-2"/>
            </patternFill>
          </fill>
        </dxf>
        <dxf>
          <fill>
            <patternFill>
              <bgColor theme="0"/>
            </patternFill>
          </fill>
        </dxf>
        <dxf>
          <font>
            <color theme="4" tint="-0.499984740745262"/>
          </font>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[HR_Capstone_Completed_Khadijat_Oyedeji.xlsx]Analysis!PivotTable3</c:name>
    <c:fmtId val="4"/>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GB" sz="1200" b="1" i="0" u="none" strike="noStrike" baseline="0">
                <a:solidFill>
                  <a:schemeClr val="accent2"/>
                </a:solidFill>
                <a:latin typeface="Times New Roman" panose="02020603050405020304" pitchFamily="18" charset="0"/>
                <a:cs typeface="Times New Roman" panose="02020603050405020304" pitchFamily="18" charset="0"/>
              </a:rPr>
              <a:t>Average Salary by Department</a:t>
            </a:r>
            <a:endParaRPr lang="en-US" sz="1200" b="1">
              <a:solidFill>
                <a:schemeClr val="accent2"/>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Analysis!$E$3</c:f>
              <c:strCache>
                <c:ptCount val="1"/>
                <c:pt idx="0">
                  <c:v>Average Salary</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Analysis!$D$4:$D$9</c:f>
              <c:strCache>
                <c:ptCount val="6"/>
                <c:pt idx="0">
                  <c:v>Finance</c:v>
                </c:pt>
                <c:pt idx="1">
                  <c:v>Human Resources</c:v>
                </c:pt>
                <c:pt idx="2">
                  <c:v>Information Technology</c:v>
                </c:pt>
                <c:pt idx="3">
                  <c:v>Marketing</c:v>
                </c:pt>
                <c:pt idx="4">
                  <c:v>Operations</c:v>
                </c:pt>
                <c:pt idx="5">
                  <c:v>Sales</c:v>
                </c:pt>
              </c:strCache>
            </c:strRef>
          </c:cat>
          <c:val>
            <c:numRef>
              <c:f>Analysis!$E$4:$E$9</c:f>
              <c:numCache>
                <c:formatCode>"$"#,##0</c:formatCode>
                <c:ptCount val="6"/>
                <c:pt idx="0">
                  <c:v>86242.65625</c:v>
                </c:pt>
                <c:pt idx="1">
                  <c:v>85537.583333333328</c:v>
                </c:pt>
                <c:pt idx="2">
                  <c:v>80516.097222222219</c:v>
                </c:pt>
                <c:pt idx="3">
                  <c:v>85409.18421052632</c:v>
                </c:pt>
                <c:pt idx="4">
                  <c:v>80051.551724137928</c:v>
                </c:pt>
                <c:pt idx="5">
                  <c:v>86339.161290322576</c:v>
                </c:pt>
              </c:numCache>
            </c:numRef>
          </c:val>
          <c:extLst>
            <c:ext xmlns:c16="http://schemas.microsoft.com/office/drawing/2014/chart" uri="{C3380CC4-5D6E-409C-BE32-E72D297353CC}">
              <c16:uniqueId val="{00000002-6B65-46DA-9834-C30FA13F589D}"/>
            </c:ext>
          </c:extLst>
        </c:ser>
        <c:ser>
          <c:idx val="1"/>
          <c:order val="1"/>
          <c:tx>
            <c:strRef>
              <c:f>Analysis!$F$3</c:f>
              <c:strCache>
                <c:ptCount val="1"/>
                <c:pt idx="0">
                  <c:v>Count of Emp ID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Analysis!$D$4:$D$9</c:f>
              <c:strCache>
                <c:ptCount val="6"/>
                <c:pt idx="0">
                  <c:v>Finance</c:v>
                </c:pt>
                <c:pt idx="1">
                  <c:v>Human Resources</c:v>
                </c:pt>
                <c:pt idx="2">
                  <c:v>Information Technology</c:v>
                </c:pt>
                <c:pt idx="3">
                  <c:v>Marketing</c:v>
                </c:pt>
                <c:pt idx="4">
                  <c:v>Operations</c:v>
                </c:pt>
                <c:pt idx="5">
                  <c:v>Sales</c:v>
                </c:pt>
              </c:strCache>
            </c:strRef>
          </c:cat>
          <c:val>
            <c:numRef>
              <c:f>Analysis!$F$4:$F$9</c:f>
              <c:numCache>
                <c:formatCode>General</c:formatCode>
                <c:ptCount val="6"/>
                <c:pt idx="0">
                  <c:v>16</c:v>
                </c:pt>
                <c:pt idx="1">
                  <c:v>18</c:v>
                </c:pt>
                <c:pt idx="2">
                  <c:v>36</c:v>
                </c:pt>
                <c:pt idx="3">
                  <c:v>19</c:v>
                </c:pt>
                <c:pt idx="4">
                  <c:v>29</c:v>
                </c:pt>
                <c:pt idx="5">
                  <c:v>31</c:v>
                </c:pt>
              </c:numCache>
            </c:numRef>
          </c:val>
          <c:extLst>
            <c:ext xmlns:c16="http://schemas.microsoft.com/office/drawing/2014/chart" uri="{C3380CC4-5D6E-409C-BE32-E72D297353CC}">
              <c16:uniqueId val="{00000003-6B65-46DA-9834-C30FA13F589D}"/>
            </c:ext>
          </c:extLst>
        </c:ser>
        <c:dLbls>
          <c:dLblPos val="outEnd"/>
          <c:showLegendKey val="0"/>
          <c:showVal val="1"/>
          <c:showCatName val="0"/>
          <c:showSerName val="0"/>
          <c:showPercent val="0"/>
          <c:showBubbleSize val="0"/>
        </c:dLbls>
        <c:gapWidth val="182"/>
        <c:axId val="1976080080"/>
        <c:axId val="1976081744"/>
      </c:barChart>
      <c:catAx>
        <c:axId val="1976080080"/>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GB" sz="1200" b="1">
                    <a:solidFill>
                      <a:sysClr val="windowText" lastClr="000000"/>
                    </a:solidFill>
                    <a:latin typeface="Times New Roman" panose="02020603050405020304" pitchFamily="18" charset="0"/>
                    <a:cs typeface="Times New Roman" panose="02020603050405020304" pitchFamily="18" charset="0"/>
                  </a:rPr>
                  <a:t>Department</a:t>
                </a:r>
                <a:endParaRPr lang="en-GB" sz="1200" b="1" baseline="0">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976081744"/>
        <c:crosses val="autoZero"/>
        <c:auto val="1"/>
        <c:lblAlgn val="ctr"/>
        <c:lblOffset val="100"/>
        <c:noMultiLvlLbl val="0"/>
      </c:catAx>
      <c:valAx>
        <c:axId val="1976081744"/>
        <c:scaling>
          <c:orientation val="minMax"/>
        </c:scaling>
        <c:delete val="1"/>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GB" sz="1200" b="1">
                    <a:solidFill>
                      <a:sysClr val="windowText" lastClr="000000"/>
                    </a:solidFill>
                    <a:effectLst/>
                    <a:latin typeface="Times New Roman" panose="02020603050405020304" pitchFamily="18" charset="0"/>
                    <a:cs typeface="Times New Roman" panose="02020603050405020304" pitchFamily="18" charset="0"/>
                  </a:rPr>
                  <a:t>Average</a:t>
                </a:r>
                <a:r>
                  <a:rPr lang="en-GB" sz="1200" b="1" baseline="0">
                    <a:solidFill>
                      <a:sysClr val="windowText" lastClr="000000"/>
                    </a:solidFill>
                    <a:effectLst/>
                    <a:latin typeface="Times New Roman" panose="02020603050405020304" pitchFamily="18" charset="0"/>
                    <a:cs typeface="Times New Roman" panose="02020603050405020304" pitchFamily="18" charset="0"/>
                  </a:rPr>
                  <a:t> Salary</a:t>
                </a:r>
                <a:endParaRPr lang="en-GB" sz="1200" b="1">
                  <a:solidFill>
                    <a:sysClr val="windowText" lastClr="000000"/>
                  </a:solidFill>
                  <a:effectLst/>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crossAx val="1976080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[HR_Capstone_Completed_Khadijat_Oyedeji.xlsx]Analysis!PivotTable8</c:name>
    <c:fmtId val="11"/>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GB" sz="1200" b="1" i="0" u="none" strike="noStrike" baseline="0">
                <a:solidFill>
                  <a:schemeClr val="accent2"/>
                </a:solidFill>
                <a:latin typeface="Times New Roman" panose="02020603050405020304" pitchFamily="18" charset="0"/>
                <a:cs typeface="Times New Roman" panose="02020603050405020304" pitchFamily="18" charset="0"/>
              </a:rPr>
              <a:t>Employee Headcount by Department</a:t>
            </a:r>
            <a:endParaRPr lang="en-US" sz="1200" b="1">
              <a:solidFill>
                <a:schemeClr val="accent2"/>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Analysis!$E$15</c:f>
              <c:strCache>
                <c:ptCount val="1"/>
                <c:pt idx="0">
                  <c:v>Total</c:v>
                </c:pt>
              </c:strCache>
            </c:strRef>
          </c:tx>
          <c:spPr>
            <a:solidFill>
              <a:schemeClr val="accent1">
                <a:lumMod val="75000"/>
              </a:schemeClr>
            </a:solidFill>
            <a:ln>
              <a:noFill/>
            </a:ln>
            <a:effectLst/>
          </c:spPr>
          <c:invertIfNegative val="0"/>
          <c:cat>
            <c:strRef>
              <c:f>Analysis!$D$16:$D$21</c:f>
              <c:strCache>
                <c:ptCount val="6"/>
                <c:pt idx="0">
                  <c:v>Finance</c:v>
                </c:pt>
                <c:pt idx="1">
                  <c:v>Human Resources</c:v>
                </c:pt>
                <c:pt idx="2">
                  <c:v>Information Technology</c:v>
                </c:pt>
                <c:pt idx="3">
                  <c:v>Marketing</c:v>
                </c:pt>
                <c:pt idx="4">
                  <c:v>Operations</c:v>
                </c:pt>
                <c:pt idx="5">
                  <c:v>Sales</c:v>
                </c:pt>
              </c:strCache>
            </c:strRef>
          </c:cat>
          <c:val>
            <c:numRef>
              <c:f>Analysis!$E$16:$E$21</c:f>
              <c:numCache>
                <c:formatCode>General</c:formatCode>
                <c:ptCount val="6"/>
                <c:pt idx="0">
                  <c:v>16</c:v>
                </c:pt>
                <c:pt idx="1">
                  <c:v>18</c:v>
                </c:pt>
                <c:pt idx="2">
                  <c:v>36</c:v>
                </c:pt>
                <c:pt idx="3">
                  <c:v>19</c:v>
                </c:pt>
                <c:pt idx="4">
                  <c:v>29</c:v>
                </c:pt>
                <c:pt idx="5">
                  <c:v>31</c:v>
                </c:pt>
              </c:numCache>
            </c:numRef>
          </c:val>
          <c:extLst>
            <c:ext xmlns:c16="http://schemas.microsoft.com/office/drawing/2014/chart" uri="{C3380CC4-5D6E-409C-BE32-E72D297353CC}">
              <c16:uniqueId val="{00000000-9219-4103-AEC1-E0305EDA74B7}"/>
            </c:ext>
          </c:extLst>
        </c:ser>
        <c:dLbls>
          <c:showLegendKey val="0"/>
          <c:showVal val="0"/>
          <c:showCatName val="0"/>
          <c:showSerName val="0"/>
          <c:showPercent val="0"/>
          <c:showBubbleSize val="0"/>
        </c:dLbls>
        <c:gapWidth val="219"/>
        <c:overlap val="-27"/>
        <c:axId val="2060712784"/>
        <c:axId val="2060720272"/>
      </c:barChart>
      <c:catAx>
        <c:axId val="2060712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latin typeface="Times New Roman" panose="02020603050405020304" pitchFamily="18" charset="0"/>
                    <a:cs typeface="Times New Roman" panose="02020603050405020304" pitchFamily="18" charset="0"/>
                  </a:rPr>
                  <a:t>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060720272"/>
        <c:crosses val="autoZero"/>
        <c:auto val="1"/>
        <c:lblAlgn val="ctr"/>
        <c:lblOffset val="100"/>
        <c:noMultiLvlLbl val="0"/>
      </c:catAx>
      <c:valAx>
        <c:axId val="20607202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200" b="1">
                    <a:latin typeface="Times New Roman" panose="02020603050405020304" pitchFamily="18" charset="0"/>
                    <a:cs typeface="Times New Roman" panose="02020603050405020304" pitchFamily="18" charset="0"/>
                  </a:rPr>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060712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[HR_Capstone_Completed_Khadijat_Oyedeji.xlsx]Analysis!PivotTable5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b="1" i="0" u="none" strike="noStrike" baseline="0">
                <a:solidFill>
                  <a:schemeClr val="accent2"/>
                </a:solidFill>
                <a:latin typeface="Times New Roman" panose="02020603050405020304" pitchFamily="18" charset="0"/>
                <a:cs typeface="Times New Roman" panose="02020603050405020304" pitchFamily="18" charset="0"/>
              </a:rPr>
              <a:t>Performance by Employment Status</a:t>
            </a:r>
            <a:endParaRPr lang="en-US" sz="1100" b="1">
              <a:solidFill>
                <a:schemeClr val="accent2"/>
              </a:solidFill>
              <a:latin typeface="Times New Roman" panose="02020603050405020304" pitchFamily="18" charset="0"/>
              <a:cs typeface="Times New Roman" panose="02020603050405020304" pitchFamily="18" charset="0"/>
            </a:endParaRPr>
          </a:p>
        </c:rich>
      </c:tx>
      <c:layout>
        <c:manualLayout>
          <c:xMode val="edge"/>
          <c:yMode val="edge"/>
          <c:x val="0.20060060809230529"/>
          <c:y val="2.73972602739726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solidFill>
          <a:ln w="19050">
            <a:solidFill>
              <a:schemeClr val="lt1"/>
            </a:solidFill>
          </a:ln>
          <a:effectLst/>
        </c:spPr>
      </c:pivotFmt>
      <c:pivotFmt>
        <c:idx val="2"/>
        <c:spPr>
          <a:solidFill>
            <a:schemeClr val="tx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fld id="{9641D94B-6C1A-48AD-9797-957CD9C8C313}" type="VALUE">
                  <a:rPr lang="en-US">
                    <a:solidFill>
                      <a:schemeClr val="bg1"/>
                    </a:solidFill>
                  </a:rPr>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fld id="{C11AF9D3-D57D-423B-8B28-768ABA9ADF4D}" type="VALUE">
                  <a:rPr lang="en-US">
                    <a:solidFill>
                      <a:schemeClr val="bg1"/>
                    </a:solidFill>
                  </a:rPr>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fld id="{9641D94B-6C1A-48AD-9797-957CD9C8C313}" type="VALUE">
                  <a:rPr lang="en-US">
                    <a:solidFill>
                      <a:schemeClr val="bg1"/>
                    </a:solidFill>
                  </a:rPr>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bg2"/>
          </a:solidFill>
          <a:ln w="19050">
            <a:solidFill>
              <a:schemeClr val="lt1"/>
            </a:solidFill>
          </a:ln>
          <a:effectLst/>
        </c:spPr>
      </c:pivotFmt>
      <c:pivotFmt>
        <c:idx val="7"/>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fld id="{C11AF9D3-D57D-423B-8B28-768ABA9ADF4D}" type="VALUE">
                  <a:rPr lang="en-US">
                    <a:solidFill>
                      <a:schemeClr val="bg1"/>
                    </a:solidFill>
                  </a:rPr>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fld id="{9641D94B-6C1A-48AD-9797-957CD9C8C313}" type="VALUE">
                  <a:rPr lang="en-US">
                    <a:solidFill>
                      <a:schemeClr val="bg1"/>
                    </a:solidFill>
                  </a:rPr>
                  <a:pPr>
                    <a:defRPr sz="800" b="1">
                      <a:solidFill>
                        <a:schemeClr val="accent2"/>
                      </a:solidFill>
                      <a:latin typeface="Times New Roman" panose="02020603050405020304" pitchFamily="18" charset="0"/>
                      <a:cs typeface="Times New Roman" panose="02020603050405020304" pitchFamily="18" charset="0"/>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bg2"/>
          </a:solidFill>
          <a:ln w="19050">
            <a:solidFill>
              <a:schemeClr val="lt1"/>
            </a:solidFill>
          </a:ln>
          <a:effectLst/>
        </c:spPr>
      </c:pivotFmt>
      <c:pivotFmt>
        <c:idx val="11"/>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fld id="{C11AF9D3-D57D-423B-8B28-768ABA9ADF4D}" type="VALUE">
                  <a:rPr lang="en-US">
                    <a:solidFill>
                      <a:schemeClr val="bg1"/>
                    </a:solidFill>
                  </a:rPr>
                  <a:pPr>
                    <a:defRPr sz="800" b="1">
                      <a:solidFill>
                        <a:schemeClr val="accent2"/>
                      </a:solidFill>
                      <a:latin typeface="Times New Roman" panose="02020603050405020304" pitchFamily="18" charset="0"/>
                      <a:cs typeface="Times New Roman" panose="02020603050405020304" pitchFamily="18" charset="0"/>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Analysis!$K$3</c:f>
              <c:strCache>
                <c:ptCount val="1"/>
                <c:pt idx="0">
                  <c:v>Total</c:v>
                </c:pt>
              </c:strCache>
            </c:strRef>
          </c:tx>
          <c:dPt>
            <c:idx val="0"/>
            <c:bubble3D val="0"/>
            <c:spPr>
              <a:solidFill>
                <a:schemeClr val="tx2"/>
              </a:solidFill>
              <a:ln w="19050">
                <a:solidFill>
                  <a:schemeClr val="lt1"/>
                </a:solidFill>
              </a:ln>
              <a:effectLst/>
            </c:spPr>
            <c:extLst>
              <c:ext xmlns:c16="http://schemas.microsoft.com/office/drawing/2014/chart" uri="{C3380CC4-5D6E-409C-BE32-E72D297353CC}">
                <c16:uniqueId val="{00000001-FC3C-44F8-A7FC-365236C8DA95}"/>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FC3C-44F8-A7FC-365236C8DA95}"/>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FC3C-44F8-A7FC-365236C8DA95}"/>
              </c:ext>
            </c:extLst>
          </c:dPt>
          <c:dLbls>
            <c:dLbl>
              <c:idx val="0"/>
              <c:tx>
                <c:rich>
                  <a:bodyPr/>
                  <a:lstStyle/>
                  <a:p>
                    <a:fld id="{9641D94B-6C1A-48AD-9797-957CD9C8C313}" type="VALUE">
                      <a:rPr lang="en-US">
                        <a:solidFill>
                          <a:schemeClr val="bg1"/>
                        </a:solidFill>
                      </a:rPr>
                      <a:pPr/>
                      <a:t>[VALUE]</a:t>
                    </a:fld>
                    <a:endParaRPr lang="en-GB"/>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C3C-44F8-A7FC-365236C8DA95}"/>
                </c:ext>
              </c:extLst>
            </c:dLbl>
            <c:dLbl>
              <c:idx val="2"/>
              <c:tx>
                <c:rich>
                  <a:bodyPr/>
                  <a:lstStyle/>
                  <a:p>
                    <a:fld id="{C11AF9D3-D57D-423B-8B28-768ABA9ADF4D}" type="VALUE">
                      <a:rPr lang="en-US">
                        <a:solidFill>
                          <a:schemeClr val="bg1"/>
                        </a:solidFill>
                      </a:rPr>
                      <a:pPr/>
                      <a:t>[VALUE]</a:t>
                    </a:fld>
                    <a:endParaRPr lang="en-GB"/>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FC3C-44F8-A7FC-365236C8DA95}"/>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Analysis!$J$4:$J$6</c:f>
              <c:strCache>
                <c:ptCount val="3"/>
                <c:pt idx="0">
                  <c:v>Active</c:v>
                </c:pt>
                <c:pt idx="1">
                  <c:v>Left</c:v>
                </c:pt>
                <c:pt idx="2">
                  <c:v>Resigned</c:v>
                </c:pt>
              </c:strCache>
            </c:strRef>
          </c:cat>
          <c:val>
            <c:numRef>
              <c:f>Analysis!$K$4:$K$6</c:f>
              <c:numCache>
                <c:formatCode>0.00</c:formatCode>
                <c:ptCount val="3"/>
                <c:pt idx="0">
                  <c:v>67.765217391304347</c:v>
                </c:pt>
                <c:pt idx="1">
                  <c:v>66.291666666666671</c:v>
                </c:pt>
                <c:pt idx="2">
                  <c:v>76.400000000000006</c:v>
                </c:pt>
              </c:numCache>
            </c:numRef>
          </c:val>
          <c:extLst>
            <c:ext xmlns:c16="http://schemas.microsoft.com/office/drawing/2014/chart" uri="{C3380CC4-5D6E-409C-BE32-E72D297353CC}">
              <c16:uniqueId val="{00000006-FC3C-44F8-A7FC-365236C8DA9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[HR_Capstone_Completed_Khadijat_Oyedeji.xlsx]Analysis!PivotTable6</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GB" sz="1200" b="1" i="0" u="none" strike="noStrike" baseline="0">
                <a:solidFill>
                  <a:schemeClr val="accent2"/>
                </a:solidFill>
                <a:latin typeface="Times New Roman" panose="02020603050405020304" pitchFamily="18" charset="0"/>
                <a:cs typeface="Times New Roman" panose="02020603050405020304" pitchFamily="18" charset="0"/>
              </a:rPr>
              <a:t>Bonus Payout by Performance Band</a:t>
            </a:r>
            <a:endParaRPr lang="en-US" sz="1200" b="1">
              <a:solidFill>
                <a:schemeClr val="accent2"/>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a:sp3d/>
        </c:spPr>
        <c:dLbl>
          <c:idx val="0"/>
          <c:layout>
            <c:manualLayout>
              <c:x val="-0.11666666666666667"/>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9149BE7-866E-4B74-B720-E3D8A3CC536A}" type="VALUE">
                  <a:rPr lang="en-US" b="1"/>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tx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tx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tx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tx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solidFill>
          <a:ln>
            <a:noFill/>
          </a:ln>
          <a:effectLst/>
          <a:sp3d/>
        </c:spPr>
        <c:dLbl>
          <c:idx val="0"/>
          <c:layout>
            <c:manualLayout>
              <c:x val="-0.11666666666666667"/>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9149BE7-866E-4B74-B720-E3D8A3CC536A}" type="VALUE">
                  <a:rPr lang="en-US" b="1"/>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tx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solidFill>
          <a:ln>
            <a:noFill/>
          </a:ln>
          <a:effectLst/>
          <a:sp3d/>
        </c:spPr>
        <c:dLbl>
          <c:idx val="0"/>
          <c:layout>
            <c:manualLayout>
              <c:x val="-0.11666666666666667"/>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fld id="{127FC88E-5056-4AA4-885A-CA40281CD994}" type="VALUE">
                  <a:rPr lang="en-US">
                    <a:solidFill>
                      <a:schemeClr val="accent2"/>
                    </a:solidFill>
                  </a:rPr>
                  <a:pPr>
                    <a:defRPr b="1">
                      <a:solidFill>
                        <a:schemeClr val="accent2"/>
                      </a:solidFill>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tx2"/>
          </a:solidFill>
          <a:ln>
            <a:noFill/>
          </a:ln>
          <a:effectLst/>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fld id="{CC5BF9D6-DD24-44FA-B977-21BA12A1E47C}" type="VALUE">
                  <a:rPr lang="en-US">
                    <a:solidFill>
                      <a:schemeClr val="accent2"/>
                    </a:solidFill>
                  </a:rPr>
                  <a:pPr>
                    <a:defRPr b="1">
                      <a:solidFill>
                        <a:schemeClr val="accent2"/>
                      </a:solidFill>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tx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fld id="{D9149BE7-866E-4B74-B720-E3D8A3CC536A}" type="VALUE">
                  <a:rPr lang="en-US" b="1">
                    <a:solidFill>
                      <a:schemeClr val="accent2"/>
                    </a:solidFill>
                  </a:rPr>
                  <a:pPr>
                    <a:defRPr>
                      <a:solidFill>
                        <a:schemeClr val="accent2"/>
                      </a:solidFill>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Analysis!$K$15</c:f>
              <c:strCache>
                <c:ptCount val="1"/>
                <c:pt idx="0">
                  <c:v>Total</c:v>
                </c:pt>
              </c:strCache>
            </c:strRef>
          </c:tx>
          <c:spPr>
            <a:solidFill>
              <a:schemeClr val="tx2"/>
            </a:solidFill>
            <a:ln>
              <a:noFill/>
            </a:ln>
            <a:effectLst/>
            <a:sp3d/>
          </c:spPr>
          <c:invertIfNegative val="0"/>
          <c:dLbls>
            <c:dLbl>
              <c:idx val="0"/>
              <c:layout>
                <c:manualLayout>
                  <c:x val="-0.11666666666666667"/>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fld id="{127FC88E-5056-4AA4-885A-CA40281CD994}" type="VALUE">
                      <a:rPr lang="en-US">
                        <a:solidFill>
                          <a:schemeClr val="accent2"/>
                        </a:solidFill>
                      </a:rPr>
                      <a:pPr>
                        <a:defRPr b="1">
                          <a:solidFill>
                            <a:schemeClr val="accent2"/>
                          </a:solidFill>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70AB-4376-983A-692E2B369759}"/>
                </c:ext>
              </c:extLst>
            </c:dLbl>
            <c:dLbl>
              <c:idx val="1"/>
              <c:tx>
                <c:rich>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fld id="{CC5BF9D6-DD24-44FA-B977-21BA12A1E47C}" type="VALUE">
                      <a:rPr lang="en-US">
                        <a:solidFill>
                          <a:schemeClr val="accent2"/>
                        </a:solidFill>
                      </a:rPr>
                      <a:pPr>
                        <a:defRPr b="1">
                          <a:solidFill>
                            <a:schemeClr val="accent2"/>
                          </a:solidFill>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0AB-4376-983A-692E2B369759}"/>
                </c:ext>
              </c:extLst>
            </c:dLbl>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70AB-4376-983A-692E2B369759}"/>
                </c:ext>
              </c:extLst>
            </c:dLbl>
            <c:dLbl>
              <c:idx val="3"/>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70AB-4376-983A-692E2B369759}"/>
                </c:ext>
              </c:extLst>
            </c:dLbl>
            <c:dLbl>
              <c:idx val="4"/>
              <c:tx>
                <c:rich>
                  <a:bodyPr/>
                  <a:lstStyle/>
                  <a:p>
                    <a:fld id="{D9149BE7-866E-4B74-B720-E3D8A3CC536A}" type="VALUE">
                      <a:rPr lang="en-US" b="1">
                        <a:solidFill>
                          <a:schemeClr val="accent2"/>
                        </a:solidFill>
                      </a:rPr>
                      <a:pPr/>
                      <a:t>[VALUE]</a:t>
                    </a:fld>
                    <a:endParaRPr lang="en-GB"/>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70AB-4376-983A-692E2B36975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Analysis!$J$16:$J$20</c:f>
              <c:strCache>
                <c:ptCount val="5"/>
                <c:pt idx="0">
                  <c:v>Achieving</c:v>
                </c:pt>
                <c:pt idx="1">
                  <c:v>Developing</c:v>
                </c:pt>
                <c:pt idx="2">
                  <c:v>Exceeding</c:v>
                </c:pt>
                <c:pt idx="3">
                  <c:v>Needs Improvement</c:v>
                </c:pt>
                <c:pt idx="4">
                  <c:v>Outstanding</c:v>
                </c:pt>
              </c:strCache>
            </c:strRef>
          </c:cat>
          <c:val>
            <c:numRef>
              <c:f>Analysis!$K$16:$K$20</c:f>
              <c:numCache>
                <c:formatCode>"$"#,##0</c:formatCode>
                <c:ptCount val="5"/>
                <c:pt idx="0">
                  <c:v>192811.72500000001</c:v>
                </c:pt>
                <c:pt idx="1">
                  <c:v>71518.700000000026</c:v>
                </c:pt>
                <c:pt idx="2">
                  <c:v>144693.20000000001</c:v>
                </c:pt>
                <c:pt idx="3">
                  <c:v>0</c:v>
                </c:pt>
                <c:pt idx="4">
                  <c:v>92414.340000000011</c:v>
                </c:pt>
              </c:numCache>
            </c:numRef>
          </c:val>
          <c:extLst>
            <c:ext xmlns:c16="http://schemas.microsoft.com/office/drawing/2014/chart" uri="{C3380CC4-5D6E-409C-BE32-E72D297353CC}">
              <c16:uniqueId val="{00000005-70AB-4376-983A-692E2B369759}"/>
            </c:ext>
          </c:extLst>
        </c:ser>
        <c:dLbls>
          <c:showLegendKey val="0"/>
          <c:showVal val="1"/>
          <c:showCatName val="0"/>
          <c:showSerName val="0"/>
          <c:showPercent val="0"/>
          <c:showBubbleSize val="0"/>
        </c:dLbls>
        <c:gapWidth val="150"/>
        <c:shape val="box"/>
        <c:axId val="2066034480"/>
        <c:axId val="2066029904"/>
        <c:axId val="0"/>
      </c:bar3DChart>
      <c:catAx>
        <c:axId val="20660344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100" b="1">
                    <a:latin typeface="Times New Roman" panose="02020603050405020304" pitchFamily="18" charset="0"/>
                    <a:cs typeface="Times New Roman" panose="02020603050405020304" pitchFamily="18" charset="0"/>
                  </a:rPr>
                  <a:t>Performance</a:t>
                </a:r>
                <a:r>
                  <a:rPr lang="en-GB" sz="1100" b="1" baseline="0">
                    <a:latin typeface="Times New Roman" panose="02020603050405020304" pitchFamily="18" charset="0"/>
                    <a:cs typeface="Times New Roman" panose="02020603050405020304" pitchFamily="18" charset="0"/>
                  </a:rPr>
                  <a:t> Band</a:t>
                </a:r>
                <a:endParaRPr lang="en-GB" sz="1100" b="1">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066029904"/>
        <c:crosses val="autoZero"/>
        <c:auto val="1"/>
        <c:lblAlgn val="ctr"/>
        <c:lblOffset val="100"/>
        <c:noMultiLvlLbl val="0"/>
      </c:catAx>
      <c:valAx>
        <c:axId val="2066029904"/>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100" b="1">
                    <a:latin typeface="Times New Roman" panose="02020603050405020304" pitchFamily="18" charset="0"/>
                    <a:cs typeface="Times New Roman" panose="02020603050405020304" pitchFamily="18" charset="0"/>
                  </a:rPr>
                  <a:t>Eligible</a:t>
                </a:r>
                <a:r>
                  <a:rPr lang="en-GB" sz="1100" b="1" baseline="0">
                    <a:latin typeface="Times New Roman" panose="02020603050405020304" pitchFamily="18" charset="0"/>
                    <a:cs typeface="Times New Roman" panose="02020603050405020304" pitchFamily="18" charset="0"/>
                  </a:rPr>
                  <a:t> Bonus Amount</a:t>
                </a:r>
                <a:endParaRPr lang="en-GB" sz="11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crossAx val="2066034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2"/>
                </a:solidFill>
                <a:latin typeface="Times New Roman" panose="02020603050405020304" pitchFamily="18" charset="0"/>
                <a:cs typeface="Times New Roman" panose="02020603050405020304" pitchFamily="18" charset="0"/>
              </a:rPr>
              <a:t>Attrition</a:t>
            </a:r>
            <a:r>
              <a:rPr lang="en-US" sz="1100" b="1" baseline="0">
                <a:solidFill>
                  <a:schemeClr val="accent2"/>
                </a:solidFill>
                <a:latin typeface="Times New Roman" panose="02020603050405020304" pitchFamily="18" charset="0"/>
                <a:cs typeface="Times New Roman" panose="02020603050405020304" pitchFamily="18" charset="0"/>
              </a:rPr>
              <a:t> Rate by Department</a:t>
            </a:r>
            <a:endParaRPr lang="en-US" sz="1100" b="1">
              <a:solidFill>
                <a:schemeClr val="accent2"/>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Analysis!$F$40</c:f>
              <c:strCache>
                <c:ptCount val="1"/>
                <c:pt idx="0">
                  <c:v>Attrition Rate (%)</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Analysis!$E$41:$E$46</c:f>
              <c:strCache>
                <c:ptCount val="6"/>
                <c:pt idx="0">
                  <c:v>Finance</c:v>
                </c:pt>
                <c:pt idx="1">
                  <c:v>Human Resources</c:v>
                </c:pt>
                <c:pt idx="2">
                  <c:v>Information Technology</c:v>
                </c:pt>
                <c:pt idx="3">
                  <c:v>Marketing</c:v>
                </c:pt>
                <c:pt idx="4">
                  <c:v>Operations</c:v>
                </c:pt>
                <c:pt idx="5">
                  <c:v>Sales</c:v>
                </c:pt>
              </c:strCache>
            </c:strRef>
          </c:cat>
          <c:val>
            <c:numRef>
              <c:f>Analysis!$F$41:$F$46</c:f>
              <c:numCache>
                <c:formatCode>0</c:formatCode>
                <c:ptCount val="6"/>
                <c:pt idx="0">
                  <c:v>18.75</c:v>
                </c:pt>
                <c:pt idx="1">
                  <c:v>16.666666666666664</c:v>
                </c:pt>
                <c:pt idx="2">
                  <c:v>22.222222222222221</c:v>
                </c:pt>
                <c:pt idx="3">
                  <c:v>15.789473684210526</c:v>
                </c:pt>
                <c:pt idx="4">
                  <c:v>37.931034482758619</c:v>
                </c:pt>
                <c:pt idx="5">
                  <c:v>19.35483870967742</c:v>
                </c:pt>
              </c:numCache>
            </c:numRef>
          </c:val>
          <c:extLst>
            <c:ext xmlns:c16="http://schemas.microsoft.com/office/drawing/2014/chart" uri="{C3380CC4-5D6E-409C-BE32-E72D297353CC}">
              <c16:uniqueId val="{00000000-3D05-4A74-B726-105B625737A7}"/>
            </c:ext>
          </c:extLst>
        </c:ser>
        <c:dLbls>
          <c:dLblPos val="outEnd"/>
          <c:showLegendKey val="0"/>
          <c:showVal val="1"/>
          <c:showCatName val="0"/>
          <c:showSerName val="0"/>
          <c:showPercent val="0"/>
          <c:showBubbleSize val="0"/>
        </c:dLbls>
        <c:gapWidth val="182"/>
        <c:axId val="1976107120"/>
        <c:axId val="1976109616"/>
      </c:barChart>
      <c:catAx>
        <c:axId val="19761071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200" b="1">
                    <a:latin typeface="Times New Roman" panose="02020603050405020304" pitchFamily="18" charset="0"/>
                    <a:cs typeface="Times New Roman" panose="02020603050405020304" pitchFamily="18" charset="0"/>
                  </a:rPr>
                  <a:t>Department</a:t>
                </a:r>
                <a:endParaRPr lang="en-GB" b="1">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976109616"/>
        <c:crosses val="autoZero"/>
        <c:auto val="1"/>
        <c:lblAlgn val="ctr"/>
        <c:lblOffset val="100"/>
        <c:noMultiLvlLbl val="0"/>
      </c:catAx>
      <c:valAx>
        <c:axId val="1976109616"/>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100" b="1">
                    <a:latin typeface="Times New Roman" panose="02020603050405020304" pitchFamily="18" charset="0"/>
                    <a:cs typeface="Times New Roman" panose="02020603050405020304" pitchFamily="18" charset="0"/>
                  </a:rPr>
                  <a:t>Attrition</a:t>
                </a:r>
                <a:r>
                  <a:rPr lang="en-GB" sz="1100" b="1" baseline="0">
                    <a:latin typeface="Times New Roman" panose="02020603050405020304" pitchFamily="18" charset="0"/>
                    <a:cs typeface="Times New Roman" panose="02020603050405020304" pitchFamily="18" charset="0"/>
                  </a:rPr>
                  <a:t> Rate (%)</a:t>
                </a:r>
                <a:endParaRPr lang="en-GB" sz="11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197610712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[HR_Capstone_Completed_Khadijat_Oyedeji.xlsx]Analysis!PivotTable3</c:name>
    <c:fmtId val="11"/>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GB" sz="1200" b="1" i="0" u="none" strike="noStrike" baseline="0">
                <a:solidFill>
                  <a:schemeClr val="accent2"/>
                </a:solidFill>
                <a:latin typeface="Times New Roman" panose="02020603050405020304" pitchFamily="18" charset="0"/>
                <a:cs typeface="Times New Roman" panose="02020603050405020304" pitchFamily="18" charset="0"/>
              </a:rPr>
              <a:t>Headcount &amp; Average Salary by Department</a:t>
            </a:r>
            <a:endParaRPr lang="en-US" sz="1200" b="1">
              <a:solidFill>
                <a:schemeClr val="accent2"/>
              </a:solidFill>
              <a:latin typeface="Times New Roman" panose="02020603050405020304" pitchFamily="18" charset="0"/>
              <a:cs typeface="Times New Roman" panose="02020603050405020304" pitchFamily="18" charset="0"/>
            </a:endParaRPr>
          </a:p>
        </c:rich>
      </c:tx>
      <c:layout>
        <c:manualLayout>
          <c:xMode val="edge"/>
          <c:yMode val="edge"/>
          <c:x val="0.1276510965328451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198801076129058"/>
          <c:y val="0.20222215417519546"/>
          <c:w val="0.56469270908917257"/>
          <c:h val="0.63145311546769112"/>
        </c:manualLayout>
      </c:layout>
      <c:barChart>
        <c:barDir val="bar"/>
        <c:grouping val="clustered"/>
        <c:varyColors val="0"/>
        <c:ser>
          <c:idx val="0"/>
          <c:order val="0"/>
          <c:tx>
            <c:strRef>
              <c:f>Analysis!$E$3</c:f>
              <c:strCache>
                <c:ptCount val="1"/>
                <c:pt idx="0">
                  <c:v>Average Salary</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Analysis!$D$4:$D$9</c:f>
              <c:strCache>
                <c:ptCount val="6"/>
                <c:pt idx="0">
                  <c:v>Finance</c:v>
                </c:pt>
                <c:pt idx="1">
                  <c:v>Human Resources</c:v>
                </c:pt>
                <c:pt idx="2">
                  <c:v>Information Technology</c:v>
                </c:pt>
                <c:pt idx="3">
                  <c:v>Marketing</c:v>
                </c:pt>
                <c:pt idx="4">
                  <c:v>Operations</c:v>
                </c:pt>
                <c:pt idx="5">
                  <c:v>Sales</c:v>
                </c:pt>
              </c:strCache>
            </c:strRef>
          </c:cat>
          <c:val>
            <c:numRef>
              <c:f>Analysis!$E$4:$E$9</c:f>
              <c:numCache>
                <c:formatCode>"$"#,##0</c:formatCode>
                <c:ptCount val="6"/>
                <c:pt idx="0">
                  <c:v>86242.65625</c:v>
                </c:pt>
                <c:pt idx="1">
                  <c:v>85537.583333333328</c:v>
                </c:pt>
                <c:pt idx="2">
                  <c:v>80516.097222222219</c:v>
                </c:pt>
                <c:pt idx="3">
                  <c:v>85409.18421052632</c:v>
                </c:pt>
                <c:pt idx="4">
                  <c:v>80051.551724137928</c:v>
                </c:pt>
                <c:pt idx="5">
                  <c:v>86339.161290322576</c:v>
                </c:pt>
              </c:numCache>
            </c:numRef>
          </c:val>
          <c:extLst>
            <c:ext xmlns:c16="http://schemas.microsoft.com/office/drawing/2014/chart" uri="{C3380CC4-5D6E-409C-BE32-E72D297353CC}">
              <c16:uniqueId val="{00000000-144B-4AB8-A205-1BD3D22C9ED9}"/>
            </c:ext>
          </c:extLst>
        </c:ser>
        <c:ser>
          <c:idx val="1"/>
          <c:order val="1"/>
          <c:tx>
            <c:strRef>
              <c:f>Analysis!$F$3</c:f>
              <c:strCache>
                <c:ptCount val="1"/>
                <c:pt idx="0">
                  <c:v>Count of Emp ID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Analysis!$D$4:$D$9</c:f>
              <c:strCache>
                <c:ptCount val="6"/>
                <c:pt idx="0">
                  <c:v>Finance</c:v>
                </c:pt>
                <c:pt idx="1">
                  <c:v>Human Resources</c:v>
                </c:pt>
                <c:pt idx="2">
                  <c:v>Information Technology</c:v>
                </c:pt>
                <c:pt idx="3">
                  <c:v>Marketing</c:v>
                </c:pt>
                <c:pt idx="4">
                  <c:v>Operations</c:v>
                </c:pt>
                <c:pt idx="5">
                  <c:v>Sales</c:v>
                </c:pt>
              </c:strCache>
            </c:strRef>
          </c:cat>
          <c:val>
            <c:numRef>
              <c:f>Analysis!$F$4:$F$9</c:f>
              <c:numCache>
                <c:formatCode>General</c:formatCode>
                <c:ptCount val="6"/>
                <c:pt idx="0">
                  <c:v>16</c:v>
                </c:pt>
                <c:pt idx="1">
                  <c:v>18</c:v>
                </c:pt>
                <c:pt idx="2">
                  <c:v>36</c:v>
                </c:pt>
                <c:pt idx="3">
                  <c:v>19</c:v>
                </c:pt>
                <c:pt idx="4">
                  <c:v>29</c:v>
                </c:pt>
                <c:pt idx="5">
                  <c:v>31</c:v>
                </c:pt>
              </c:numCache>
            </c:numRef>
          </c:val>
          <c:extLst>
            <c:ext xmlns:c16="http://schemas.microsoft.com/office/drawing/2014/chart" uri="{C3380CC4-5D6E-409C-BE32-E72D297353CC}">
              <c16:uniqueId val="{00000001-144B-4AB8-A205-1BD3D22C9ED9}"/>
            </c:ext>
          </c:extLst>
        </c:ser>
        <c:dLbls>
          <c:dLblPos val="outEnd"/>
          <c:showLegendKey val="0"/>
          <c:showVal val="1"/>
          <c:showCatName val="0"/>
          <c:showSerName val="0"/>
          <c:showPercent val="0"/>
          <c:showBubbleSize val="0"/>
        </c:dLbls>
        <c:gapWidth val="182"/>
        <c:axId val="1976080080"/>
        <c:axId val="1976081744"/>
      </c:barChart>
      <c:catAx>
        <c:axId val="1976080080"/>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GB" sz="1200" b="1">
                    <a:solidFill>
                      <a:sysClr val="windowText" lastClr="000000"/>
                    </a:solidFill>
                    <a:latin typeface="Times New Roman" panose="02020603050405020304" pitchFamily="18" charset="0"/>
                    <a:cs typeface="Times New Roman" panose="02020603050405020304" pitchFamily="18" charset="0"/>
                  </a:rPr>
                  <a:t>Department</a:t>
                </a:r>
                <a:endParaRPr lang="en-GB" sz="1200" b="1" baseline="0">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976081744"/>
        <c:crosses val="autoZero"/>
        <c:auto val="1"/>
        <c:lblAlgn val="ctr"/>
        <c:lblOffset val="100"/>
        <c:noMultiLvlLbl val="0"/>
      </c:catAx>
      <c:valAx>
        <c:axId val="1976081744"/>
        <c:scaling>
          <c:orientation val="minMax"/>
        </c:scaling>
        <c:delete val="1"/>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GB" sz="1200" b="1">
                    <a:solidFill>
                      <a:sysClr val="windowText" lastClr="000000"/>
                    </a:solidFill>
                    <a:effectLst/>
                    <a:latin typeface="Times New Roman" panose="02020603050405020304" pitchFamily="18" charset="0"/>
                    <a:cs typeface="Times New Roman" panose="02020603050405020304" pitchFamily="18" charset="0"/>
                  </a:rPr>
                  <a:t>Average</a:t>
                </a:r>
                <a:r>
                  <a:rPr lang="en-GB" sz="1200" b="1" baseline="0">
                    <a:solidFill>
                      <a:sysClr val="windowText" lastClr="000000"/>
                    </a:solidFill>
                    <a:effectLst/>
                    <a:latin typeface="Times New Roman" panose="02020603050405020304" pitchFamily="18" charset="0"/>
                    <a:cs typeface="Times New Roman" panose="02020603050405020304" pitchFamily="18" charset="0"/>
                  </a:rPr>
                  <a:t> Salary</a:t>
                </a:r>
                <a:endParaRPr lang="en-GB" sz="1200" b="1">
                  <a:solidFill>
                    <a:sysClr val="windowText" lastClr="000000"/>
                  </a:solidFill>
                  <a:effectLst/>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crossAx val="1976080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[HR_Capstone_Completed_Khadijat_Oyedeji.xlsx]Analysis!PivotTable5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b="1" i="0" u="none" strike="noStrike" baseline="0">
                <a:solidFill>
                  <a:schemeClr val="accent2"/>
                </a:solidFill>
                <a:latin typeface="Times New Roman" panose="02020603050405020304" pitchFamily="18" charset="0"/>
                <a:cs typeface="Times New Roman" panose="02020603050405020304" pitchFamily="18" charset="0"/>
              </a:rPr>
              <a:t>Performance by Employment Status</a:t>
            </a:r>
            <a:endParaRPr lang="en-US" sz="1100" b="1">
              <a:solidFill>
                <a:schemeClr val="accent2"/>
              </a:solidFill>
              <a:latin typeface="Times New Roman" panose="02020603050405020304" pitchFamily="18" charset="0"/>
              <a:cs typeface="Times New Roman" panose="02020603050405020304" pitchFamily="18" charset="0"/>
            </a:endParaRPr>
          </a:p>
        </c:rich>
      </c:tx>
      <c:layout>
        <c:manualLayout>
          <c:xMode val="edge"/>
          <c:yMode val="edge"/>
          <c:x val="0.17692284984952791"/>
          <c:y val="9.076636412814809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solidFill>
          <a:ln w="19050">
            <a:solidFill>
              <a:schemeClr val="lt1"/>
            </a:solidFill>
          </a:ln>
          <a:effectLst/>
        </c:spPr>
      </c:pivotFmt>
      <c:pivotFmt>
        <c:idx val="2"/>
        <c:spPr>
          <a:solidFill>
            <a:schemeClr val="tx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fld id="{9641D94B-6C1A-48AD-9797-957CD9C8C313}" type="VALUE">
                  <a:rPr lang="en-US">
                    <a:solidFill>
                      <a:schemeClr val="bg1"/>
                    </a:solidFill>
                  </a:rPr>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fld id="{C11AF9D3-D57D-423B-8B28-768ABA9ADF4D}" type="VALUE">
                  <a:rPr lang="en-US">
                    <a:solidFill>
                      <a:schemeClr val="bg1"/>
                    </a:solidFill>
                  </a:rPr>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fld id="{9641D94B-6C1A-48AD-9797-957CD9C8C313}" type="VALUE">
                  <a:rPr lang="en-US">
                    <a:solidFill>
                      <a:schemeClr val="bg1"/>
                    </a:solidFill>
                  </a:rPr>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bg2"/>
          </a:solidFill>
          <a:ln w="19050">
            <a:solidFill>
              <a:schemeClr val="lt1"/>
            </a:solidFill>
          </a:ln>
          <a:effectLst/>
        </c:spPr>
      </c:pivotFmt>
      <c:pivotFmt>
        <c:idx val="7"/>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fld id="{C11AF9D3-D57D-423B-8B28-768ABA9ADF4D}" type="VALUE">
                  <a:rPr lang="en-US">
                    <a:solidFill>
                      <a:schemeClr val="bg1"/>
                    </a:solidFill>
                  </a:rPr>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fld id="{9641D94B-6C1A-48AD-9797-957CD9C8C313}" type="VALUE">
                  <a:rPr lang="en-US">
                    <a:solidFill>
                      <a:schemeClr val="bg1"/>
                    </a:solidFill>
                  </a:rPr>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bg2"/>
          </a:solidFill>
          <a:ln w="19050">
            <a:solidFill>
              <a:schemeClr val="lt1"/>
            </a:solidFill>
          </a:ln>
          <a:effectLst/>
        </c:spPr>
      </c:pivotFmt>
      <c:pivotFmt>
        <c:idx val="11"/>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fld id="{C11AF9D3-D57D-423B-8B28-768ABA9ADF4D}" type="VALUE">
                  <a:rPr lang="en-US">
                    <a:solidFill>
                      <a:schemeClr val="bg1"/>
                    </a:solidFill>
                  </a:rPr>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fld id="{9641D94B-6C1A-48AD-9797-957CD9C8C313}" type="VALUE">
                  <a:rPr lang="en-US">
                    <a:solidFill>
                      <a:schemeClr val="bg1"/>
                    </a:solidFill>
                  </a:rPr>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bg2"/>
          </a:solidFill>
          <a:ln w="19050">
            <a:solidFill>
              <a:schemeClr val="lt1"/>
            </a:solidFill>
          </a:ln>
          <a:effectLst/>
        </c:spPr>
      </c:pivotFmt>
      <c:pivotFmt>
        <c:idx val="15"/>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fld id="{C11AF9D3-D57D-423B-8B28-768ABA9ADF4D}" type="VALUE">
                  <a:rPr lang="en-US">
                    <a:solidFill>
                      <a:schemeClr val="bg1"/>
                    </a:solidFill>
                  </a:rPr>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fld id="{9641D94B-6C1A-48AD-9797-957CD9C8C313}" type="VALUE">
                  <a:rPr lang="en-US">
                    <a:solidFill>
                      <a:schemeClr val="bg1"/>
                    </a:solidFill>
                  </a:rPr>
                  <a:pPr>
                    <a:defRPr sz="800" b="1">
                      <a:solidFill>
                        <a:schemeClr val="accent2"/>
                      </a:solidFill>
                      <a:latin typeface="Times New Roman" panose="02020603050405020304" pitchFamily="18" charset="0"/>
                      <a:cs typeface="Times New Roman" panose="02020603050405020304" pitchFamily="18" charset="0"/>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chemeClr val="bg2"/>
          </a:solidFill>
          <a:ln w="19050">
            <a:solidFill>
              <a:schemeClr val="lt1"/>
            </a:solidFill>
          </a:ln>
          <a:effectLst/>
        </c:spPr>
      </c:pivotFmt>
      <c:pivotFmt>
        <c:idx val="19"/>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fld id="{C11AF9D3-D57D-423B-8B28-768ABA9ADF4D}" type="VALUE">
                  <a:rPr lang="en-US">
                    <a:solidFill>
                      <a:schemeClr val="bg1"/>
                    </a:solidFill>
                  </a:rPr>
                  <a:pPr>
                    <a:defRPr sz="800" b="1">
                      <a:solidFill>
                        <a:schemeClr val="accent2"/>
                      </a:solidFill>
                      <a:latin typeface="Times New Roman" panose="02020603050405020304" pitchFamily="18" charset="0"/>
                      <a:cs typeface="Times New Roman" panose="02020603050405020304" pitchFamily="18" charset="0"/>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3368507486504925"/>
          <c:y val="0.15413727393664833"/>
          <c:w val="0.49169552482890672"/>
          <c:h val="0.61704526660194869"/>
        </c:manualLayout>
      </c:layout>
      <c:doughnutChart>
        <c:varyColors val="1"/>
        <c:ser>
          <c:idx val="0"/>
          <c:order val="0"/>
          <c:tx>
            <c:strRef>
              <c:f>Analysis!$K$3</c:f>
              <c:strCache>
                <c:ptCount val="1"/>
                <c:pt idx="0">
                  <c:v>Total</c:v>
                </c:pt>
              </c:strCache>
            </c:strRef>
          </c:tx>
          <c:dPt>
            <c:idx val="0"/>
            <c:bubble3D val="0"/>
            <c:spPr>
              <a:solidFill>
                <a:schemeClr val="tx2"/>
              </a:solidFill>
              <a:ln w="19050">
                <a:solidFill>
                  <a:schemeClr val="lt1"/>
                </a:solidFill>
              </a:ln>
              <a:effectLst/>
            </c:spPr>
            <c:extLst>
              <c:ext xmlns:c16="http://schemas.microsoft.com/office/drawing/2014/chart" uri="{C3380CC4-5D6E-409C-BE32-E72D297353CC}">
                <c16:uniqueId val="{00000001-6D8E-4722-83AA-E82F4DEA2EE7}"/>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6D8E-4722-83AA-E82F4DEA2EE7}"/>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6D8E-4722-83AA-E82F4DEA2EE7}"/>
              </c:ext>
            </c:extLst>
          </c:dPt>
          <c:dLbls>
            <c:dLbl>
              <c:idx val="0"/>
              <c:tx>
                <c:rich>
                  <a:bodyPr/>
                  <a:lstStyle/>
                  <a:p>
                    <a:fld id="{9641D94B-6C1A-48AD-9797-957CD9C8C313}" type="VALUE">
                      <a:rPr lang="en-US">
                        <a:solidFill>
                          <a:schemeClr val="bg1"/>
                        </a:solidFill>
                      </a:rPr>
                      <a:pPr/>
                      <a:t>[VALUE]</a:t>
                    </a:fld>
                    <a:endParaRPr lang="en-GB"/>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D8E-4722-83AA-E82F4DEA2EE7}"/>
                </c:ext>
              </c:extLst>
            </c:dLbl>
            <c:dLbl>
              <c:idx val="2"/>
              <c:tx>
                <c:rich>
                  <a:bodyPr/>
                  <a:lstStyle/>
                  <a:p>
                    <a:fld id="{C11AF9D3-D57D-423B-8B28-768ABA9ADF4D}" type="VALUE">
                      <a:rPr lang="en-US">
                        <a:solidFill>
                          <a:schemeClr val="bg1"/>
                        </a:solidFill>
                      </a:rPr>
                      <a:pPr/>
                      <a:t>[VALUE]</a:t>
                    </a:fld>
                    <a:endParaRPr lang="en-GB"/>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6D8E-4722-83AA-E82F4DEA2EE7}"/>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Analysis!$J$4:$J$6</c:f>
              <c:strCache>
                <c:ptCount val="3"/>
                <c:pt idx="0">
                  <c:v>Active</c:v>
                </c:pt>
                <c:pt idx="1">
                  <c:v>Left</c:v>
                </c:pt>
                <c:pt idx="2">
                  <c:v>Resigned</c:v>
                </c:pt>
              </c:strCache>
            </c:strRef>
          </c:cat>
          <c:val>
            <c:numRef>
              <c:f>Analysis!$K$4:$K$6</c:f>
              <c:numCache>
                <c:formatCode>0.00</c:formatCode>
                <c:ptCount val="3"/>
                <c:pt idx="0">
                  <c:v>67.765217391304347</c:v>
                </c:pt>
                <c:pt idx="1">
                  <c:v>66.291666666666671</c:v>
                </c:pt>
                <c:pt idx="2">
                  <c:v>76.400000000000006</c:v>
                </c:pt>
              </c:numCache>
            </c:numRef>
          </c:val>
          <c:extLst>
            <c:ext xmlns:c16="http://schemas.microsoft.com/office/drawing/2014/chart" uri="{C3380CC4-5D6E-409C-BE32-E72D297353CC}">
              <c16:uniqueId val="{00000006-6D8E-4722-83AA-E82F4DEA2EE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10763170538631259"/>
          <c:y val="0.84358465465789378"/>
          <c:w val="0.7650170599083701"/>
          <c:h val="0.119428684428145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[HR_Capstone_Completed_Khadijat_Oyedeji.xlsx]Analysis!PivotTable6</c:name>
    <c:fmtId val="4"/>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GB" sz="1200" b="1" i="0" u="none" strike="noStrike" baseline="0">
                <a:solidFill>
                  <a:schemeClr val="accent2"/>
                </a:solidFill>
                <a:latin typeface="Times New Roman" panose="02020603050405020304" pitchFamily="18" charset="0"/>
                <a:cs typeface="Times New Roman" panose="02020603050405020304" pitchFamily="18" charset="0"/>
              </a:rPr>
              <a:t>Bonus Payout by Performance Band</a:t>
            </a:r>
            <a:endParaRPr lang="en-US" sz="1200" b="1">
              <a:solidFill>
                <a:schemeClr val="accent2"/>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a:sp3d/>
        </c:spPr>
        <c:dLbl>
          <c:idx val="0"/>
          <c:layout>
            <c:manualLayout>
              <c:x val="-0.11666666666666667"/>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9149BE7-866E-4B74-B720-E3D8A3CC536A}" type="VALUE">
                  <a:rPr lang="en-US" b="1"/>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tx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tx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tx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tx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solidFill>
          <a:ln>
            <a:noFill/>
          </a:ln>
          <a:effectLst/>
          <a:sp3d/>
        </c:spPr>
        <c:dLbl>
          <c:idx val="0"/>
          <c:layout>
            <c:manualLayout>
              <c:x val="-0.11666666666666667"/>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9149BE7-866E-4B74-B720-E3D8A3CC536A}" type="VALUE">
                  <a:rPr lang="en-US" b="1"/>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tx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solidFill>
          <a:ln>
            <a:noFill/>
          </a:ln>
          <a:effectLst/>
          <a:sp3d/>
        </c:spPr>
        <c:dLbl>
          <c:idx val="0"/>
          <c:layout>
            <c:manualLayout>
              <c:x val="-0.11666666666666667"/>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fld id="{127FC88E-5056-4AA4-885A-CA40281CD994}" type="VALUE">
                  <a:rPr lang="en-US">
                    <a:solidFill>
                      <a:schemeClr val="accent2"/>
                    </a:solidFill>
                  </a:rPr>
                  <a:pPr>
                    <a:defRPr sz="900" b="1" i="0" u="none" strike="noStrike" kern="1200" baseline="0">
                      <a:solidFill>
                        <a:schemeClr val="accent2"/>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tx2"/>
          </a:solidFill>
          <a:ln>
            <a:noFill/>
          </a:ln>
          <a:effectLst/>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fld id="{CC5BF9D6-DD24-44FA-B977-21BA12A1E47C}" type="VALUE">
                  <a:rPr lang="en-US">
                    <a:solidFill>
                      <a:schemeClr val="accent2"/>
                    </a:solidFill>
                  </a:rPr>
                  <a:pPr>
                    <a:defRPr sz="900" b="1" i="0" u="none" strike="noStrike" kern="1200" baseline="0">
                      <a:solidFill>
                        <a:schemeClr val="accent2"/>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tx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fld id="{D9149BE7-866E-4B74-B720-E3D8A3CC536A}" type="VALUE">
                  <a:rPr lang="en-US" b="1">
                    <a:solidFill>
                      <a:schemeClr val="accent2"/>
                    </a:solidFill>
                  </a:rPr>
                  <a:pPr>
                    <a:defRPr sz="900" b="0" i="0" u="none" strike="noStrike" kern="1200" baseline="0">
                      <a:solidFill>
                        <a:schemeClr val="accent2"/>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chemeClr val="tx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2"/>
          </a:solidFill>
          <a:ln>
            <a:noFill/>
          </a:ln>
          <a:effectLst/>
          <a:sp3d/>
        </c:spPr>
        <c:dLbl>
          <c:idx val="0"/>
          <c:layout>
            <c:manualLayout>
              <c:x val="-0.11666666666666667"/>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fld id="{127FC88E-5056-4AA4-885A-CA40281CD994}" type="VALUE">
                  <a:rPr lang="en-US">
                    <a:solidFill>
                      <a:schemeClr val="accent2"/>
                    </a:solidFill>
                  </a:rPr>
                  <a:pPr>
                    <a:defRPr sz="900" b="1" i="0" u="none" strike="noStrike" kern="1200" baseline="0">
                      <a:solidFill>
                        <a:schemeClr val="accent2"/>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solidFill>
            <a:schemeClr val="tx2"/>
          </a:solidFill>
          <a:ln>
            <a:noFill/>
          </a:ln>
          <a:effectLst/>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fld id="{CC5BF9D6-DD24-44FA-B977-21BA12A1E47C}" type="VALUE">
                  <a:rPr lang="en-US">
                    <a:solidFill>
                      <a:schemeClr val="accent2"/>
                    </a:solidFill>
                  </a:rPr>
                  <a:pPr>
                    <a:defRPr sz="900" b="1" i="0" u="none" strike="noStrike" kern="1200" baseline="0">
                      <a:solidFill>
                        <a:schemeClr val="accent2"/>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1"/>
        <c:spPr>
          <a:solidFill>
            <a:schemeClr val="tx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2"/>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fld id="{D9149BE7-866E-4B74-B720-E3D8A3CC536A}" type="VALUE">
                  <a:rPr lang="en-US" b="1">
                    <a:solidFill>
                      <a:schemeClr val="accent2"/>
                    </a:solidFill>
                  </a:rPr>
                  <a:pPr>
                    <a:defRPr sz="900" b="0" i="0" u="none" strike="noStrike" kern="1200" baseline="0">
                      <a:solidFill>
                        <a:schemeClr val="accent2"/>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4"/>
        <c:spPr>
          <a:solidFill>
            <a:schemeClr val="tx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2"/>
          </a:solidFill>
          <a:ln>
            <a:noFill/>
          </a:ln>
          <a:effectLst/>
          <a:sp3d/>
        </c:spPr>
        <c:dLbl>
          <c:idx val="0"/>
          <c:layout>
            <c:manualLayout>
              <c:x val="-0.10070565796645105"/>
              <c:y val="-1.1027446755234726E-16"/>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fld id="{127FC88E-5056-4AA4-885A-CA40281CD994}" type="VALUE">
                  <a:rPr lang="en-US">
                    <a:solidFill>
                      <a:schemeClr val="bg1"/>
                    </a:solidFill>
                  </a:rPr>
                  <a:pPr>
                    <a:defRPr b="1">
                      <a:solidFill>
                        <a:schemeClr val="accent2"/>
                      </a:solidFill>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935750521093084"/>
                  <c:h val="0.15019555985817767"/>
                </c:manualLayout>
              </c15:layout>
              <c15:dlblFieldTable/>
              <c15:showDataLabelsRange val="0"/>
            </c:ext>
          </c:extLst>
        </c:dLbl>
      </c:pivotFmt>
      <c:pivotFmt>
        <c:idx val="26"/>
        <c:spPr>
          <a:solidFill>
            <a:schemeClr val="tx2"/>
          </a:solidFill>
          <a:ln>
            <a:noFill/>
          </a:ln>
          <a:effectLst/>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fld id="{CC5BF9D6-DD24-44FA-B977-21BA12A1E47C}" type="VALUE">
                  <a:rPr lang="en-US">
                    <a:solidFill>
                      <a:schemeClr val="accent2"/>
                    </a:solidFill>
                  </a:rPr>
                  <a:pPr>
                    <a:defRPr b="1">
                      <a:solidFill>
                        <a:schemeClr val="accent2"/>
                      </a:solidFill>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7"/>
        <c:spPr>
          <a:solidFill>
            <a:schemeClr val="tx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tx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tx2"/>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fld id="{D9149BE7-866E-4B74-B720-E3D8A3CC536A}" type="VALUE">
                  <a:rPr lang="en-US" b="1">
                    <a:solidFill>
                      <a:schemeClr val="accent2"/>
                    </a:solidFill>
                  </a:rPr>
                  <a:pPr>
                    <a:defRPr>
                      <a:solidFill>
                        <a:schemeClr val="accent2"/>
                      </a:solidFill>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9743492672157837"/>
          <c:y val="0.20330836696861854"/>
          <c:w val="0.55885645489001512"/>
          <c:h val="0.63642064361879991"/>
        </c:manualLayout>
      </c:layout>
      <c:bar3DChart>
        <c:barDir val="bar"/>
        <c:grouping val="clustered"/>
        <c:varyColors val="0"/>
        <c:ser>
          <c:idx val="0"/>
          <c:order val="0"/>
          <c:tx>
            <c:strRef>
              <c:f>Analysis!$K$15</c:f>
              <c:strCache>
                <c:ptCount val="1"/>
                <c:pt idx="0">
                  <c:v>Total</c:v>
                </c:pt>
              </c:strCache>
            </c:strRef>
          </c:tx>
          <c:spPr>
            <a:solidFill>
              <a:schemeClr val="tx2"/>
            </a:solidFill>
            <a:ln>
              <a:noFill/>
            </a:ln>
            <a:effectLst/>
            <a:sp3d/>
          </c:spPr>
          <c:invertIfNegative val="0"/>
          <c:dLbls>
            <c:dLbl>
              <c:idx val="0"/>
              <c:layout>
                <c:manualLayout>
                  <c:x val="-0.10070565796645105"/>
                  <c:y val="-1.1027446755234726E-16"/>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fld id="{127FC88E-5056-4AA4-885A-CA40281CD994}" type="VALUE">
                      <a:rPr lang="en-US">
                        <a:solidFill>
                          <a:schemeClr val="bg1"/>
                        </a:solidFill>
                      </a:rPr>
                      <a:pPr>
                        <a:defRPr b="1">
                          <a:solidFill>
                            <a:schemeClr val="accent2"/>
                          </a:solidFill>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935750521093084"/>
                      <c:h val="0.15019555985817767"/>
                    </c:manualLayout>
                  </c15:layout>
                  <c15:dlblFieldTable/>
                  <c15:showDataLabelsRange val="0"/>
                </c:ext>
                <c:ext xmlns:c16="http://schemas.microsoft.com/office/drawing/2014/chart" uri="{C3380CC4-5D6E-409C-BE32-E72D297353CC}">
                  <c16:uniqueId val="{00000000-B756-4030-A876-B3D9361860A3}"/>
                </c:ext>
              </c:extLst>
            </c:dLbl>
            <c:dLbl>
              <c:idx val="1"/>
              <c:tx>
                <c:rich>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fld id="{CC5BF9D6-DD24-44FA-B977-21BA12A1E47C}" type="VALUE">
                      <a:rPr lang="en-US">
                        <a:solidFill>
                          <a:schemeClr val="accent2"/>
                        </a:solidFill>
                      </a:rPr>
                      <a:pPr>
                        <a:defRPr b="1">
                          <a:solidFill>
                            <a:schemeClr val="accent2"/>
                          </a:solidFill>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756-4030-A876-B3D9361860A3}"/>
                </c:ext>
              </c:extLst>
            </c:dLbl>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B756-4030-A876-B3D9361860A3}"/>
                </c:ext>
              </c:extLst>
            </c:dLbl>
            <c:dLbl>
              <c:idx val="3"/>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B756-4030-A876-B3D9361860A3}"/>
                </c:ext>
              </c:extLst>
            </c:dLbl>
            <c:dLbl>
              <c:idx val="4"/>
              <c:tx>
                <c:rich>
                  <a:bodyPr/>
                  <a:lstStyle/>
                  <a:p>
                    <a:fld id="{D9149BE7-866E-4B74-B720-E3D8A3CC536A}" type="VALUE">
                      <a:rPr lang="en-US" b="1">
                        <a:solidFill>
                          <a:schemeClr val="accent2"/>
                        </a:solidFill>
                      </a:rPr>
                      <a:pPr/>
                      <a:t>[VALUE]</a:t>
                    </a:fld>
                    <a:endParaRPr lang="en-GB"/>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B756-4030-A876-B3D9361860A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Analysis!$J$16:$J$20</c:f>
              <c:strCache>
                <c:ptCount val="5"/>
                <c:pt idx="0">
                  <c:v>Achieving</c:v>
                </c:pt>
                <c:pt idx="1">
                  <c:v>Developing</c:v>
                </c:pt>
                <c:pt idx="2">
                  <c:v>Exceeding</c:v>
                </c:pt>
                <c:pt idx="3">
                  <c:v>Needs Improvement</c:v>
                </c:pt>
                <c:pt idx="4">
                  <c:v>Outstanding</c:v>
                </c:pt>
              </c:strCache>
            </c:strRef>
          </c:cat>
          <c:val>
            <c:numRef>
              <c:f>Analysis!$K$16:$K$20</c:f>
              <c:numCache>
                <c:formatCode>"$"#,##0</c:formatCode>
                <c:ptCount val="5"/>
                <c:pt idx="0">
                  <c:v>192811.72500000001</c:v>
                </c:pt>
                <c:pt idx="1">
                  <c:v>71518.700000000026</c:v>
                </c:pt>
                <c:pt idx="2">
                  <c:v>144693.20000000001</c:v>
                </c:pt>
                <c:pt idx="3">
                  <c:v>0</c:v>
                </c:pt>
                <c:pt idx="4">
                  <c:v>92414.340000000011</c:v>
                </c:pt>
              </c:numCache>
            </c:numRef>
          </c:val>
          <c:extLst>
            <c:ext xmlns:c16="http://schemas.microsoft.com/office/drawing/2014/chart" uri="{C3380CC4-5D6E-409C-BE32-E72D297353CC}">
              <c16:uniqueId val="{00000005-B756-4030-A876-B3D9361860A3}"/>
            </c:ext>
          </c:extLst>
        </c:ser>
        <c:dLbls>
          <c:showLegendKey val="0"/>
          <c:showVal val="1"/>
          <c:showCatName val="0"/>
          <c:showSerName val="0"/>
          <c:showPercent val="0"/>
          <c:showBubbleSize val="0"/>
        </c:dLbls>
        <c:gapWidth val="150"/>
        <c:shape val="box"/>
        <c:axId val="2066034480"/>
        <c:axId val="2066029904"/>
        <c:axId val="0"/>
      </c:bar3DChart>
      <c:catAx>
        <c:axId val="20660344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100" b="1">
                    <a:solidFill>
                      <a:sysClr val="windowText" lastClr="000000"/>
                    </a:solidFill>
                    <a:latin typeface="Times New Roman" panose="02020603050405020304" pitchFamily="18" charset="0"/>
                    <a:cs typeface="Times New Roman" panose="02020603050405020304" pitchFamily="18" charset="0"/>
                  </a:rPr>
                  <a:t>Performance</a:t>
                </a:r>
                <a:r>
                  <a:rPr lang="en-GB" sz="1100" b="1" baseline="0">
                    <a:solidFill>
                      <a:sysClr val="windowText" lastClr="000000"/>
                    </a:solidFill>
                    <a:latin typeface="Times New Roman" panose="02020603050405020304" pitchFamily="18" charset="0"/>
                    <a:cs typeface="Times New Roman" panose="02020603050405020304" pitchFamily="18" charset="0"/>
                  </a:rPr>
                  <a:t> Band</a:t>
                </a:r>
                <a:endParaRPr lang="en-GB" sz="1100"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066029904"/>
        <c:crosses val="autoZero"/>
        <c:auto val="1"/>
        <c:lblAlgn val="ctr"/>
        <c:lblOffset val="100"/>
        <c:noMultiLvlLbl val="0"/>
      </c:catAx>
      <c:valAx>
        <c:axId val="2066029904"/>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100" b="1">
                    <a:latin typeface="Times New Roman" panose="02020603050405020304" pitchFamily="18" charset="0"/>
                    <a:cs typeface="Times New Roman" panose="02020603050405020304" pitchFamily="18" charset="0"/>
                  </a:rPr>
                  <a:t>Eligible</a:t>
                </a:r>
                <a:r>
                  <a:rPr lang="en-GB" sz="1100" b="1" baseline="0">
                    <a:latin typeface="Times New Roman" panose="02020603050405020304" pitchFamily="18" charset="0"/>
                    <a:cs typeface="Times New Roman" panose="02020603050405020304" pitchFamily="18" charset="0"/>
                  </a:rPr>
                  <a:t> Bonus Amount</a:t>
                </a:r>
                <a:endParaRPr lang="en-GB" sz="11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crossAx val="2066034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2"/>
                </a:solidFill>
                <a:latin typeface="Times New Roman" panose="02020603050405020304" pitchFamily="18" charset="0"/>
                <a:cs typeface="Times New Roman" panose="02020603050405020304" pitchFamily="18" charset="0"/>
              </a:rPr>
              <a:t>Attrition</a:t>
            </a:r>
            <a:r>
              <a:rPr lang="en-US" sz="1100" b="1" baseline="0">
                <a:solidFill>
                  <a:schemeClr val="accent2"/>
                </a:solidFill>
                <a:latin typeface="Times New Roman" panose="02020603050405020304" pitchFamily="18" charset="0"/>
                <a:cs typeface="Times New Roman" panose="02020603050405020304" pitchFamily="18" charset="0"/>
              </a:rPr>
              <a:t> Rate by Department</a:t>
            </a:r>
            <a:endParaRPr lang="en-US" sz="1100" b="1">
              <a:solidFill>
                <a:schemeClr val="accent2"/>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43303459794798377"/>
          <c:y val="0.19406812268936985"/>
          <c:w val="0.52252095760757167"/>
          <c:h val="0.64753253488940332"/>
        </c:manualLayout>
      </c:layout>
      <c:barChart>
        <c:barDir val="bar"/>
        <c:grouping val="clustered"/>
        <c:varyColors val="0"/>
        <c:ser>
          <c:idx val="0"/>
          <c:order val="0"/>
          <c:tx>
            <c:strRef>
              <c:f>Analysis!$F$40</c:f>
              <c:strCache>
                <c:ptCount val="1"/>
                <c:pt idx="0">
                  <c:v>Attrition Rate (%)</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Analysis!$E$41:$E$46</c:f>
              <c:strCache>
                <c:ptCount val="6"/>
                <c:pt idx="0">
                  <c:v>Finance</c:v>
                </c:pt>
                <c:pt idx="1">
                  <c:v>Human Resources</c:v>
                </c:pt>
                <c:pt idx="2">
                  <c:v>Information Technology</c:v>
                </c:pt>
                <c:pt idx="3">
                  <c:v>Marketing</c:v>
                </c:pt>
                <c:pt idx="4">
                  <c:v>Operations</c:v>
                </c:pt>
                <c:pt idx="5">
                  <c:v>Sales</c:v>
                </c:pt>
              </c:strCache>
            </c:strRef>
          </c:cat>
          <c:val>
            <c:numRef>
              <c:f>Analysis!$F$41:$F$46</c:f>
              <c:numCache>
                <c:formatCode>0</c:formatCode>
                <c:ptCount val="6"/>
                <c:pt idx="0">
                  <c:v>18.75</c:v>
                </c:pt>
                <c:pt idx="1">
                  <c:v>16.666666666666664</c:v>
                </c:pt>
                <c:pt idx="2">
                  <c:v>22.222222222222221</c:v>
                </c:pt>
                <c:pt idx="3">
                  <c:v>15.789473684210526</c:v>
                </c:pt>
                <c:pt idx="4">
                  <c:v>37.931034482758619</c:v>
                </c:pt>
                <c:pt idx="5">
                  <c:v>19.35483870967742</c:v>
                </c:pt>
              </c:numCache>
            </c:numRef>
          </c:val>
          <c:extLst>
            <c:ext xmlns:c16="http://schemas.microsoft.com/office/drawing/2014/chart" uri="{C3380CC4-5D6E-409C-BE32-E72D297353CC}">
              <c16:uniqueId val="{00000000-7DB1-4087-BB1F-2AA1526E3323}"/>
            </c:ext>
          </c:extLst>
        </c:ser>
        <c:dLbls>
          <c:dLblPos val="outEnd"/>
          <c:showLegendKey val="0"/>
          <c:showVal val="1"/>
          <c:showCatName val="0"/>
          <c:showSerName val="0"/>
          <c:showPercent val="0"/>
          <c:showBubbleSize val="0"/>
        </c:dLbls>
        <c:gapWidth val="182"/>
        <c:axId val="1976107120"/>
        <c:axId val="1976109616"/>
      </c:barChart>
      <c:catAx>
        <c:axId val="19761071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200" b="1">
                    <a:latin typeface="Times New Roman" panose="02020603050405020304" pitchFamily="18" charset="0"/>
                    <a:cs typeface="Times New Roman" panose="02020603050405020304" pitchFamily="18" charset="0"/>
                  </a:rPr>
                  <a:t>Department</a:t>
                </a:r>
                <a:endParaRPr lang="en-GB" b="1">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976109616"/>
        <c:crosses val="autoZero"/>
        <c:auto val="1"/>
        <c:lblAlgn val="ctr"/>
        <c:lblOffset val="100"/>
        <c:noMultiLvlLbl val="0"/>
      </c:catAx>
      <c:valAx>
        <c:axId val="1976109616"/>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100" b="1">
                    <a:latin typeface="Times New Roman" panose="02020603050405020304" pitchFamily="18" charset="0"/>
                    <a:cs typeface="Times New Roman" panose="02020603050405020304" pitchFamily="18" charset="0"/>
                  </a:rPr>
                  <a:t>Attrition</a:t>
                </a:r>
                <a:r>
                  <a:rPr lang="en-GB" sz="1100" b="1" baseline="0">
                    <a:latin typeface="Times New Roman" panose="02020603050405020304" pitchFamily="18" charset="0"/>
                    <a:cs typeface="Times New Roman" panose="02020603050405020304" pitchFamily="18" charset="0"/>
                  </a:rPr>
                  <a:t> Rate (%)</a:t>
                </a:r>
                <a:endParaRPr lang="en-GB" sz="1100" b="1">
                  <a:latin typeface="Times New Roman" panose="02020603050405020304" pitchFamily="18" charset="0"/>
                  <a:cs typeface="Times New Roman" panose="02020603050405020304" pitchFamily="18" charset="0"/>
                </a:endParaRPr>
              </a:p>
            </c:rich>
          </c:tx>
          <c:layout>
            <c:manualLayout>
              <c:xMode val="edge"/>
              <c:yMode val="edge"/>
              <c:x val="0.37637572576155248"/>
              <c:y val="0.8653798444242019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19761071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HR Dashboard'!A1"/><Relationship Id="rId2" Type="http://schemas.openxmlformats.org/officeDocument/2006/relationships/hyperlink" Target="#Analysis!A1"/><Relationship Id="rId1" Type="http://schemas.openxmlformats.org/officeDocument/2006/relationships/hyperlink" Target="#Raw_Employee_Data!A1"/></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hyperlink" Target="#'HR Dashboard'!A1"/><Relationship Id="rId7" Type="http://schemas.openxmlformats.org/officeDocument/2006/relationships/chart" Target="../charts/chart9.xml"/><Relationship Id="rId2" Type="http://schemas.openxmlformats.org/officeDocument/2006/relationships/hyperlink" Target="#Analysis!A1"/><Relationship Id="rId1" Type="http://schemas.openxmlformats.org/officeDocument/2006/relationships/hyperlink" Target="#Raw_Employee_Data!A1"/><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57150</xdr:rowOff>
    </xdr:from>
    <xdr:to>
      <xdr:col>0</xdr:col>
      <xdr:colOff>1247775</xdr:colOff>
      <xdr:row>28</xdr:row>
      <xdr:rowOff>179615</xdr:rowOff>
    </xdr:to>
    <xdr:sp macro="" textlink="">
      <xdr:nvSpPr>
        <xdr:cNvPr id="2" name="Rectangle: Rounded Corners 1">
          <a:extLst>
            <a:ext uri="{FF2B5EF4-FFF2-40B4-BE49-F238E27FC236}">
              <a16:creationId xmlns:a16="http://schemas.microsoft.com/office/drawing/2014/main" id="{457D9A94-402D-4158-AB1A-95DD2EF009A3}"/>
            </a:ext>
          </a:extLst>
        </xdr:cNvPr>
        <xdr:cNvSpPr/>
      </xdr:nvSpPr>
      <xdr:spPr>
        <a:xfrm>
          <a:off x="0" y="57150"/>
          <a:ext cx="1247775" cy="5456465"/>
        </a:xfrm>
        <a:prstGeom prst="roundRect">
          <a:avLst>
            <a:gd name="adj" fmla="val 9375"/>
          </a:avLst>
        </a:prstGeom>
        <a:solidFill>
          <a:schemeClr val="accent1">
            <a:lumMod val="75000"/>
          </a:schemeClr>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142875</xdr:colOff>
      <xdr:row>1</xdr:row>
      <xdr:rowOff>47625</xdr:rowOff>
    </xdr:from>
    <xdr:to>
      <xdr:col>0</xdr:col>
      <xdr:colOff>1095375</xdr:colOff>
      <xdr:row>3</xdr:row>
      <xdr:rowOff>34018</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55D81323-2053-4A3C-9A52-D264D991E364}"/>
            </a:ext>
          </a:extLst>
        </xdr:cNvPr>
        <xdr:cNvSpPr/>
      </xdr:nvSpPr>
      <xdr:spPr>
        <a:xfrm>
          <a:off x="142875" y="238125"/>
          <a:ext cx="952500" cy="367393"/>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solidFill>
                <a:schemeClr val="accent1">
                  <a:lumMod val="75000"/>
                </a:schemeClr>
              </a:solidFill>
              <a:latin typeface="Times New Roman" panose="02020603050405020304" pitchFamily="18" charset="0"/>
              <a:cs typeface="Times New Roman" panose="02020603050405020304" pitchFamily="18" charset="0"/>
            </a:rPr>
            <a:t>Dataset</a:t>
          </a:r>
          <a:endParaRPr lang="en-GB" sz="1200" b="1">
            <a:solidFill>
              <a:schemeClr val="accent1">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136071</xdr:colOff>
      <xdr:row>4</xdr:row>
      <xdr:rowOff>63953</xdr:rowOff>
    </xdr:from>
    <xdr:to>
      <xdr:col>0</xdr:col>
      <xdr:colOff>1088571</xdr:colOff>
      <xdr:row>6</xdr:row>
      <xdr:rowOff>50346</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5B57428B-4C55-4B99-BB79-9CE7B4890215}"/>
            </a:ext>
          </a:extLst>
        </xdr:cNvPr>
        <xdr:cNvSpPr/>
      </xdr:nvSpPr>
      <xdr:spPr>
        <a:xfrm>
          <a:off x="136071" y="825953"/>
          <a:ext cx="952500" cy="367393"/>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200" b="1">
              <a:solidFill>
                <a:schemeClr val="accent1">
                  <a:lumMod val="75000"/>
                </a:schemeClr>
              </a:solidFill>
              <a:latin typeface="Times New Roman" panose="02020603050405020304" pitchFamily="18" charset="0"/>
              <a:cs typeface="Times New Roman" panose="02020603050405020304" pitchFamily="18" charset="0"/>
            </a:rPr>
            <a:t>Analysis</a:t>
          </a:r>
        </a:p>
      </xdr:txBody>
    </xdr:sp>
    <xdr:clientData/>
  </xdr:twoCellAnchor>
  <xdr:twoCellAnchor>
    <xdr:from>
      <xdr:col>0</xdr:col>
      <xdr:colOff>142875</xdr:colOff>
      <xdr:row>7</xdr:row>
      <xdr:rowOff>46266</xdr:rowOff>
    </xdr:from>
    <xdr:to>
      <xdr:col>0</xdr:col>
      <xdr:colOff>1076325</xdr:colOff>
      <xdr:row>9</xdr:row>
      <xdr:rowOff>174172</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E9909BA8-5E59-40BD-8029-376D22EC6200}"/>
            </a:ext>
          </a:extLst>
        </xdr:cNvPr>
        <xdr:cNvSpPr/>
      </xdr:nvSpPr>
      <xdr:spPr>
        <a:xfrm>
          <a:off x="142875" y="1379766"/>
          <a:ext cx="933450" cy="508906"/>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solidFill>
                <a:schemeClr val="accent1">
                  <a:lumMod val="75000"/>
                </a:schemeClr>
              </a:solidFill>
              <a:latin typeface="Times New Roman" panose="02020603050405020304" pitchFamily="18" charset="0"/>
              <a:cs typeface="Times New Roman" panose="02020603050405020304" pitchFamily="18" charset="0"/>
            </a:rPr>
            <a:t>HR</a:t>
          </a:r>
          <a:r>
            <a:rPr lang="en-GB" sz="1100" b="1" baseline="0">
              <a:solidFill>
                <a:schemeClr val="accent1">
                  <a:lumMod val="75000"/>
                </a:schemeClr>
              </a:solidFill>
              <a:latin typeface="Times New Roman" panose="02020603050405020304" pitchFamily="18" charset="0"/>
              <a:cs typeface="Times New Roman" panose="02020603050405020304" pitchFamily="18" charset="0"/>
            </a:rPr>
            <a:t>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0</xdr:rowOff>
    </xdr:from>
    <xdr:to>
      <xdr:col>7</xdr:col>
      <xdr:colOff>304800</xdr:colOff>
      <xdr:row>16</xdr:row>
      <xdr:rowOff>76200</xdr:rowOff>
    </xdr:to>
    <xdr:graphicFrame macro="">
      <xdr:nvGraphicFramePr>
        <xdr:cNvPr id="6" name="Chart 5">
          <a:extLst>
            <a:ext uri="{FF2B5EF4-FFF2-40B4-BE49-F238E27FC236}">
              <a16:creationId xmlns:a16="http://schemas.microsoft.com/office/drawing/2014/main" id="{E850E6E3-FB63-4B82-A27D-1ABD2E90C0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0</xdr:rowOff>
    </xdr:from>
    <xdr:to>
      <xdr:col>7</xdr:col>
      <xdr:colOff>304800</xdr:colOff>
      <xdr:row>32</xdr:row>
      <xdr:rowOff>76200</xdr:rowOff>
    </xdr:to>
    <xdr:graphicFrame macro="">
      <xdr:nvGraphicFramePr>
        <xdr:cNvPr id="8" name="Chart 7">
          <a:extLst>
            <a:ext uri="{FF2B5EF4-FFF2-40B4-BE49-F238E27FC236}">
              <a16:creationId xmlns:a16="http://schemas.microsoft.com/office/drawing/2014/main" id="{5FB12FF0-3A6E-4380-9DD1-8013B5E116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1</xdr:row>
      <xdr:rowOff>152400</xdr:rowOff>
    </xdr:from>
    <xdr:to>
      <xdr:col>16</xdr:col>
      <xdr:colOff>542925</xdr:colOff>
      <xdr:row>16</xdr:row>
      <xdr:rowOff>76200</xdr:rowOff>
    </xdr:to>
    <xdr:graphicFrame macro="">
      <xdr:nvGraphicFramePr>
        <xdr:cNvPr id="9" name="Chart 8">
          <a:extLst>
            <a:ext uri="{FF2B5EF4-FFF2-40B4-BE49-F238E27FC236}">
              <a16:creationId xmlns:a16="http://schemas.microsoft.com/office/drawing/2014/main" id="{38FF7A74-B507-40C3-8C67-B5CFCA626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419100</xdr:colOff>
      <xdr:row>18</xdr:row>
      <xdr:rowOff>95250</xdr:rowOff>
    </xdr:from>
    <xdr:to>
      <xdr:col>17</xdr:col>
      <xdr:colOff>114300</xdr:colOff>
      <xdr:row>32</xdr:row>
      <xdr:rowOff>171450</xdr:rowOff>
    </xdr:to>
    <xdr:graphicFrame macro="">
      <xdr:nvGraphicFramePr>
        <xdr:cNvPr id="10" name="Chart 9">
          <a:extLst>
            <a:ext uri="{FF2B5EF4-FFF2-40B4-BE49-F238E27FC236}">
              <a16:creationId xmlns:a16="http://schemas.microsoft.com/office/drawing/2014/main" id="{7F79B822-CEC6-4EE7-AEEA-7942A57CDE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323850</xdr:colOff>
      <xdr:row>34</xdr:row>
      <xdr:rowOff>114300</xdr:rowOff>
    </xdr:from>
    <xdr:to>
      <xdr:col>12</xdr:col>
      <xdr:colOff>19050</xdr:colOff>
      <xdr:row>49</xdr:row>
      <xdr:rowOff>0</xdr:rowOff>
    </xdr:to>
    <xdr:graphicFrame macro="">
      <xdr:nvGraphicFramePr>
        <xdr:cNvPr id="11" name="Chart 10">
          <a:extLst>
            <a:ext uri="{FF2B5EF4-FFF2-40B4-BE49-F238E27FC236}">
              <a16:creationId xmlns:a16="http://schemas.microsoft.com/office/drawing/2014/main" id="{1F46FE48-3512-4F68-8EC8-87CDAB8BB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95249</xdr:colOff>
      <xdr:row>0</xdr:row>
      <xdr:rowOff>95250</xdr:rowOff>
    </xdr:from>
    <xdr:to>
      <xdr:col>18</xdr:col>
      <xdr:colOff>190500</xdr:colOff>
      <xdr:row>35</xdr:row>
      <xdr:rowOff>122464</xdr:rowOff>
    </xdr:to>
    <xdr:grpSp>
      <xdr:nvGrpSpPr>
        <xdr:cNvPr id="29" name="Group 28">
          <a:extLst>
            <a:ext uri="{FF2B5EF4-FFF2-40B4-BE49-F238E27FC236}">
              <a16:creationId xmlns:a16="http://schemas.microsoft.com/office/drawing/2014/main" id="{2CEF682F-2024-49C0-BFF5-C44E922F2DDB}"/>
            </a:ext>
          </a:extLst>
        </xdr:cNvPr>
        <xdr:cNvGrpSpPr/>
      </xdr:nvGrpSpPr>
      <xdr:grpSpPr>
        <a:xfrm>
          <a:off x="95249" y="95250"/>
          <a:ext cx="11068051" cy="6694714"/>
          <a:chOff x="95250" y="95250"/>
          <a:chExt cx="11076214" cy="6218464"/>
        </a:xfrm>
      </xdr:grpSpPr>
      <xdr:sp macro="" textlink="">
        <xdr:nvSpPr>
          <xdr:cNvPr id="6" name="Rectangle: Rounded Corners 5">
            <a:extLst>
              <a:ext uri="{FF2B5EF4-FFF2-40B4-BE49-F238E27FC236}">
                <a16:creationId xmlns:a16="http://schemas.microsoft.com/office/drawing/2014/main" id="{59F72899-CF2A-4839-9565-0A5A544B7707}"/>
              </a:ext>
            </a:extLst>
          </xdr:cNvPr>
          <xdr:cNvSpPr/>
        </xdr:nvSpPr>
        <xdr:spPr>
          <a:xfrm>
            <a:off x="95250" y="95250"/>
            <a:ext cx="11076214" cy="6218464"/>
          </a:xfrm>
          <a:prstGeom prst="roundRect">
            <a:avLst>
              <a:gd name="adj" fmla="val 3319"/>
            </a:avLst>
          </a:prstGeom>
          <a:solidFill>
            <a:srgbClr val="254061">
              <a:alpha val="14902"/>
            </a:srgb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endParaRPr lang="en-GB" sz="1100"/>
          </a:p>
        </xdr:txBody>
      </xdr:sp>
      <xdr:sp macro="" textlink="">
        <xdr:nvSpPr>
          <xdr:cNvPr id="7" name="Rectangle: Rounded Corners 6">
            <a:extLst>
              <a:ext uri="{FF2B5EF4-FFF2-40B4-BE49-F238E27FC236}">
                <a16:creationId xmlns:a16="http://schemas.microsoft.com/office/drawing/2014/main" id="{DB2C2D0C-BAAC-4470-890E-BFCB4AFF50B0}"/>
              </a:ext>
            </a:extLst>
          </xdr:cNvPr>
          <xdr:cNvSpPr/>
        </xdr:nvSpPr>
        <xdr:spPr>
          <a:xfrm>
            <a:off x="190500" y="190500"/>
            <a:ext cx="10858500" cy="449036"/>
          </a:xfrm>
          <a:prstGeom prst="round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800" b="1" i="0">
                <a:solidFill>
                  <a:schemeClr val="bg1"/>
                </a:solidFill>
                <a:effectLst/>
                <a:latin typeface="Times New Roman" panose="02020603050405020304" pitchFamily="18" charset="0"/>
                <a:ea typeface="+mn-ea"/>
                <a:cs typeface="Times New Roman" panose="02020603050405020304" pitchFamily="18" charset="0"/>
              </a:rPr>
              <a:t>HR Analytics - Excel Capstone Project</a:t>
            </a:r>
          </a:p>
          <a:p>
            <a:pPr algn="ctr"/>
            <a:endParaRPr lang="en-GB" sz="1800">
              <a:solidFill>
                <a:schemeClr val="bg1"/>
              </a:solidFill>
              <a:latin typeface="Times New Roman" panose="02020603050405020304" pitchFamily="18" charset="0"/>
              <a:cs typeface="Times New Roman" panose="02020603050405020304" pitchFamily="18" charset="0"/>
            </a:endParaRPr>
          </a:p>
        </xdr:txBody>
      </xdr:sp>
      <xdr:sp macro="" textlink="">
        <xdr:nvSpPr>
          <xdr:cNvPr id="9" name="Rectangle: Rounded Corners 8">
            <a:extLst>
              <a:ext uri="{FF2B5EF4-FFF2-40B4-BE49-F238E27FC236}">
                <a16:creationId xmlns:a16="http://schemas.microsoft.com/office/drawing/2014/main" id="{C6B97790-E2A8-4743-A48E-037981EC450F}"/>
              </a:ext>
            </a:extLst>
          </xdr:cNvPr>
          <xdr:cNvSpPr/>
        </xdr:nvSpPr>
        <xdr:spPr>
          <a:xfrm>
            <a:off x="190500" y="680357"/>
            <a:ext cx="1401536" cy="5456465"/>
          </a:xfrm>
          <a:prstGeom prst="roundRect">
            <a:avLst>
              <a:gd name="adj" fmla="val 9375"/>
            </a:avLst>
          </a:prstGeom>
          <a:solidFill>
            <a:schemeClr val="accent1">
              <a:lumMod val="75000"/>
            </a:schemeClr>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0</xdr:col>
      <xdr:colOff>394606</xdr:colOff>
      <xdr:row>4</xdr:row>
      <xdr:rowOff>95249</xdr:rowOff>
    </xdr:from>
    <xdr:to>
      <xdr:col>2</xdr:col>
      <xdr:colOff>122463</xdr:colOff>
      <xdr:row>6</xdr:row>
      <xdr:rowOff>81642</xdr:rowOff>
    </xdr:to>
    <xdr:sp macro="" textlink="">
      <xdr:nvSpPr>
        <xdr:cNvPr id="10" name="Rectangle: Rounded Corners 9">
          <a:hlinkClick xmlns:r="http://schemas.openxmlformats.org/officeDocument/2006/relationships" r:id="rId1"/>
          <a:extLst>
            <a:ext uri="{FF2B5EF4-FFF2-40B4-BE49-F238E27FC236}">
              <a16:creationId xmlns:a16="http://schemas.microsoft.com/office/drawing/2014/main" id="{D74BEEFB-EBB9-466A-A2B8-2CB7294C338B}"/>
            </a:ext>
          </a:extLst>
        </xdr:cNvPr>
        <xdr:cNvSpPr/>
      </xdr:nvSpPr>
      <xdr:spPr>
        <a:xfrm>
          <a:off x="394606" y="857249"/>
          <a:ext cx="952500" cy="367393"/>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solidFill>
                <a:schemeClr val="accent1">
                  <a:lumMod val="75000"/>
                </a:schemeClr>
              </a:solidFill>
              <a:latin typeface="Times New Roman" panose="02020603050405020304" pitchFamily="18" charset="0"/>
              <a:cs typeface="Times New Roman" panose="02020603050405020304" pitchFamily="18" charset="0"/>
            </a:rPr>
            <a:t>Dataset</a:t>
          </a:r>
          <a:endParaRPr lang="en-GB" sz="1200" b="1">
            <a:solidFill>
              <a:schemeClr val="accent1">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397327</xdr:colOff>
      <xdr:row>7</xdr:row>
      <xdr:rowOff>111577</xdr:rowOff>
    </xdr:from>
    <xdr:to>
      <xdr:col>2</xdr:col>
      <xdr:colOff>125184</xdr:colOff>
      <xdr:row>9</xdr:row>
      <xdr:rowOff>97970</xdr:rowOff>
    </xdr:to>
    <xdr:sp macro="" textlink="">
      <xdr:nvSpPr>
        <xdr:cNvPr id="11" name="Rectangle: Rounded Corners 10">
          <a:hlinkClick xmlns:r="http://schemas.openxmlformats.org/officeDocument/2006/relationships" r:id="rId2"/>
          <a:extLst>
            <a:ext uri="{FF2B5EF4-FFF2-40B4-BE49-F238E27FC236}">
              <a16:creationId xmlns:a16="http://schemas.microsoft.com/office/drawing/2014/main" id="{5C28A591-4AA1-48C6-A788-BD8F7728CCC1}"/>
            </a:ext>
          </a:extLst>
        </xdr:cNvPr>
        <xdr:cNvSpPr/>
      </xdr:nvSpPr>
      <xdr:spPr>
        <a:xfrm>
          <a:off x="397327" y="1445077"/>
          <a:ext cx="952500" cy="367393"/>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200" b="1">
              <a:solidFill>
                <a:schemeClr val="accent1">
                  <a:lumMod val="75000"/>
                </a:schemeClr>
              </a:solidFill>
              <a:latin typeface="Times New Roman" panose="02020603050405020304" pitchFamily="18" charset="0"/>
              <a:cs typeface="Times New Roman" panose="02020603050405020304" pitchFamily="18" charset="0"/>
            </a:rPr>
            <a:t>Analysis</a:t>
          </a:r>
        </a:p>
      </xdr:txBody>
    </xdr:sp>
    <xdr:clientData/>
  </xdr:twoCellAnchor>
  <xdr:twoCellAnchor>
    <xdr:from>
      <xdr:col>0</xdr:col>
      <xdr:colOff>361948</xdr:colOff>
      <xdr:row>10</xdr:row>
      <xdr:rowOff>89808</xdr:rowOff>
    </xdr:from>
    <xdr:to>
      <xdr:col>2</xdr:col>
      <xdr:colOff>89805</xdr:colOff>
      <xdr:row>13</xdr:row>
      <xdr:rowOff>27214</xdr:rowOff>
    </xdr:to>
    <xdr:sp macro="" textlink="">
      <xdr:nvSpPr>
        <xdr:cNvPr id="13" name="Rectangle: Rounded Corners 12">
          <a:hlinkClick xmlns:r="http://schemas.openxmlformats.org/officeDocument/2006/relationships" r:id="rId3"/>
          <a:extLst>
            <a:ext uri="{FF2B5EF4-FFF2-40B4-BE49-F238E27FC236}">
              <a16:creationId xmlns:a16="http://schemas.microsoft.com/office/drawing/2014/main" id="{7940F82F-B53F-478C-950C-873579FDB0B3}"/>
            </a:ext>
          </a:extLst>
        </xdr:cNvPr>
        <xdr:cNvSpPr/>
      </xdr:nvSpPr>
      <xdr:spPr>
        <a:xfrm>
          <a:off x="361948" y="1994808"/>
          <a:ext cx="952500" cy="508906"/>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200" b="1">
              <a:solidFill>
                <a:schemeClr val="accent1">
                  <a:lumMod val="75000"/>
                </a:schemeClr>
              </a:solidFill>
              <a:latin typeface="Times New Roman" panose="02020603050405020304" pitchFamily="18" charset="0"/>
              <a:cs typeface="Times New Roman" panose="02020603050405020304" pitchFamily="18" charset="0"/>
            </a:rPr>
            <a:t>HR</a:t>
          </a:r>
          <a:r>
            <a:rPr lang="en-GB" sz="1200" b="1" baseline="0">
              <a:solidFill>
                <a:schemeClr val="accent1">
                  <a:lumMod val="75000"/>
                </a:schemeClr>
              </a:solidFill>
              <a:latin typeface="Times New Roman" panose="02020603050405020304" pitchFamily="18" charset="0"/>
              <a:cs typeface="Times New Roman" panose="02020603050405020304" pitchFamily="18" charset="0"/>
            </a:rPr>
            <a:t> Dashboard</a:t>
          </a:r>
        </a:p>
      </xdr:txBody>
    </xdr:sp>
    <xdr:clientData/>
  </xdr:twoCellAnchor>
  <xdr:twoCellAnchor>
    <xdr:from>
      <xdr:col>2</xdr:col>
      <xdr:colOff>530679</xdr:colOff>
      <xdr:row>4</xdr:row>
      <xdr:rowOff>108858</xdr:rowOff>
    </xdr:from>
    <xdr:to>
      <xdr:col>6</xdr:col>
      <xdr:colOff>136071</xdr:colOff>
      <xdr:row>10</xdr:row>
      <xdr:rowOff>122467</xdr:rowOff>
    </xdr:to>
    <xdr:sp macro="" textlink="">
      <xdr:nvSpPr>
        <xdr:cNvPr id="14" name="Rectangle: Rounded Corners 13">
          <a:extLst>
            <a:ext uri="{FF2B5EF4-FFF2-40B4-BE49-F238E27FC236}">
              <a16:creationId xmlns:a16="http://schemas.microsoft.com/office/drawing/2014/main" id="{60E54A3A-0494-4D2D-B7C1-01A30DBA7C79}"/>
            </a:ext>
          </a:extLst>
        </xdr:cNvPr>
        <xdr:cNvSpPr/>
      </xdr:nvSpPr>
      <xdr:spPr>
        <a:xfrm>
          <a:off x="1755322" y="870858"/>
          <a:ext cx="2054678" cy="1156609"/>
        </a:xfrm>
        <a:prstGeom prst="roundRect">
          <a:avLst/>
        </a:prstGeom>
        <a:solidFill>
          <a:srgbClr val="376092">
            <a:alpha val="10196"/>
          </a:srgbClr>
        </a:solidFill>
        <a:ln>
          <a:noFill/>
        </a:ln>
        <a:effectLst>
          <a:outerShdw blurRad="50800" dist="38100" dir="8100000" algn="tr" rotWithShape="0">
            <a:prstClr val="black">
              <a:alpha val="40000"/>
            </a:prst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sp3d/>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600" b="1">
              <a:solidFill>
                <a:schemeClr val="accent1">
                  <a:lumMod val="50000"/>
                </a:schemeClr>
              </a:solidFill>
              <a:effectLst/>
              <a:latin typeface="Times New Roman" panose="02020603050405020304" pitchFamily="18" charset="0"/>
              <a:ea typeface="+mn-ea"/>
              <a:cs typeface="Times New Roman" panose="02020603050405020304" pitchFamily="18" charset="0"/>
            </a:rPr>
            <a:t>Total</a:t>
          </a:r>
          <a:r>
            <a:rPr lang="en-GB" sz="1200" b="1">
              <a:solidFill>
                <a:schemeClr val="accent1">
                  <a:lumMod val="50000"/>
                </a:schemeClr>
              </a:solidFill>
              <a:effectLst/>
              <a:latin typeface="Times New Roman" panose="02020603050405020304" pitchFamily="18" charset="0"/>
              <a:ea typeface="+mn-ea"/>
              <a:cs typeface="Times New Roman" panose="02020603050405020304" pitchFamily="18" charset="0"/>
            </a:rPr>
            <a:t> </a:t>
          </a:r>
          <a:r>
            <a:rPr lang="en-GB" sz="1600" b="1">
              <a:solidFill>
                <a:schemeClr val="accent1">
                  <a:lumMod val="50000"/>
                </a:schemeClr>
              </a:solidFill>
              <a:effectLst/>
              <a:latin typeface="Times New Roman" panose="02020603050405020304" pitchFamily="18" charset="0"/>
              <a:ea typeface="+mn-ea"/>
              <a:cs typeface="Times New Roman" panose="02020603050405020304" pitchFamily="18" charset="0"/>
            </a:rPr>
            <a:t>Employees</a:t>
          </a:r>
          <a:endParaRPr lang="en-GB" sz="1200">
            <a:solidFill>
              <a:schemeClr val="accent1">
                <a:lumMod val="50000"/>
              </a:schemeClr>
            </a:solidFill>
            <a:effectLst/>
            <a:latin typeface="Times New Roman" panose="02020603050405020304" pitchFamily="18" charset="0"/>
            <a:cs typeface="Times New Roman" panose="02020603050405020304" pitchFamily="18" charset="0"/>
          </a:endParaRPr>
        </a:p>
        <a:p>
          <a:pPr algn="ctr"/>
          <a:endParaRPr lang="en-GB" sz="1200">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80144</xdr:colOff>
      <xdr:row>7</xdr:row>
      <xdr:rowOff>61689</xdr:rowOff>
    </xdr:from>
    <xdr:to>
      <xdr:col>5</xdr:col>
      <xdr:colOff>570429</xdr:colOff>
      <xdr:row>9</xdr:row>
      <xdr:rowOff>4539</xdr:rowOff>
    </xdr:to>
    <xdr:sp macro="" textlink="Analysis!B4">
      <xdr:nvSpPr>
        <xdr:cNvPr id="15" name="TextBox 14">
          <a:extLst>
            <a:ext uri="{FF2B5EF4-FFF2-40B4-BE49-F238E27FC236}">
              <a16:creationId xmlns:a16="http://schemas.microsoft.com/office/drawing/2014/main" id="{CA2E65AE-591B-4B4A-80C4-5ABEE220CE64}"/>
            </a:ext>
          </a:extLst>
        </xdr:cNvPr>
        <xdr:cNvSpPr txBox="1"/>
      </xdr:nvSpPr>
      <xdr:spPr>
        <a:xfrm>
          <a:off x="1917108" y="1395189"/>
          <a:ext cx="1714928" cy="323850"/>
        </a:xfrm>
        <a:prstGeom prst="rect">
          <a:avLst/>
        </a:prstGeom>
        <a:solidFill>
          <a:srgbClr val="376092">
            <a:alpha val="14902"/>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rthographicFront"/>
            <a:lightRig rig="threePt" dir="t"/>
          </a:scene3d>
          <a:sp3d extrusionH="57150">
            <a:bevelT w="38100" h="38100" prst="relaxedInset"/>
          </a:sp3d>
        </a:bodyPr>
        <a:lstStyle/>
        <a:p>
          <a:pPr algn="ctr"/>
          <a:fld id="{CBD30560-6420-4C69-BDD9-22340DD1397C}" type="TxLink">
            <a:rPr lang="en-US" sz="2400" b="1" i="0" u="none" strike="noStrike">
              <a:solidFill>
                <a:schemeClr val="accent2"/>
              </a:solidFill>
              <a:effectLst>
                <a:outerShdw blurRad="50800" dist="38100" dir="8100000" algn="tr" rotWithShape="0">
                  <a:prstClr val="black">
                    <a:alpha val="40000"/>
                  </a:prstClr>
                </a:outerShdw>
              </a:effectLst>
              <a:latin typeface="Times New Roman" panose="02020603050405020304" pitchFamily="18" charset="0"/>
              <a:ea typeface="Calibri"/>
              <a:cs typeface="Times New Roman" panose="02020603050405020304" pitchFamily="18" charset="0"/>
            </a:rPr>
            <a:pPr algn="ctr"/>
            <a:t>149</a:t>
          </a:fld>
          <a:endParaRPr lang="en-US" sz="2400" b="1">
            <a:solidFill>
              <a:schemeClr val="accent2"/>
            </a:solidFill>
            <a:effectLst>
              <a:outerShdw blurRad="50800" dist="38100" dir="8100000" algn="tr" rotWithShape="0">
                <a:prstClr val="black">
                  <a:alpha val="40000"/>
                </a:prstClr>
              </a:outerShdw>
            </a:effectLst>
            <a:latin typeface="Times New Roman" panose="02020603050405020304" pitchFamily="18" charset="0"/>
            <a:cs typeface="Times New Roman" panose="02020603050405020304" pitchFamily="18" charset="0"/>
          </a:endParaRPr>
        </a:p>
      </xdr:txBody>
    </xdr:sp>
    <xdr:clientData/>
  </xdr:twoCellAnchor>
  <xdr:twoCellAnchor>
    <xdr:from>
      <xdr:col>10</xdr:col>
      <xdr:colOff>206828</xdr:colOff>
      <xdr:row>4</xdr:row>
      <xdr:rowOff>138792</xdr:rowOff>
    </xdr:from>
    <xdr:to>
      <xdr:col>14</xdr:col>
      <xdr:colOff>68036</xdr:colOff>
      <xdr:row>10</xdr:row>
      <xdr:rowOff>152401</xdr:rowOff>
    </xdr:to>
    <xdr:grpSp>
      <xdr:nvGrpSpPr>
        <xdr:cNvPr id="23" name="Group 22">
          <a:extLst>
            <a:ext uri="{FF2B5EF4-FFF2-40B4-BE49-F238E27FC236}">
              <a16:creationId xmlns:a16="http://schemas.microsoft.com/office/drawing/2014/main" id="{0283F228-59FE-4865-91DA-14A2EC8DC52C}"/>
            </a:ext>
          </a:extLst>
        </xdr:cNvPr>
        <xdr:cNvGrpSpPr/>
      </xdr:nvGrpSpPr>
      <xdr:grpSpPr>
        <a:xfrm>
          <a:off x="6302828" y="900792"/>
          <a:ext cx="2299608" cy="1156609"/>
          <a:chOff x="1986642" y="884465"/>
          <a:chExt cx="1943263" cy="1020536"/>
        </a:xfrm>
      </xdr:grpSpPr>
      <xdr:sp macro="" textlink="">
        <xdr:nvSpPr>
          <xdr:cNvPr id="24" name="Rectangle: Rounded Corners 23">
            <a:extLst>
              <a:ext uri="{FF2B5EF4-FFF2-40B4-BE49-F238E27FC236}">
                <a16:creationId xmlns:a16="http://schemas.microsoft.com/office/drawing/2014/main" id="{095449BA-CAA8-435C-A89A-901B127D7BE1}"/>
              </a:ext>
            </a:extLst>
          </xdr:cNvPr>
          <xdr:cNvSpPr/>
        </xdr:nvSpPr>
        <xdr:spPr>
          <a:xfrm>
            <a:off x="1986642" y="884465"/>
            <a:ext cx="1943263" cy="1020536"/>
          </a:xfrm>
          <a:prstGeom prst="roundRect">
            <a:avLst/>
          </a:prstGeom>
          <a:solidFill>
            <a:srgbClr val="376092">
              <a:alpha val="10196"/>
            </a:srgbClr>
          </a:solidFill>
          <a:ln>
            <a:noFill/>
          </a:ln>
          <a:effectLst>
            <a:outerShdw blurRad="50800" dist="38100" dir="8100000" algn="tr" rotWithShape="0">
              <a:prstClr val="black">
                <a:alpha val="40000"/>
              </a:prst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sp3d/>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600" b="1">
                <a:solidFill>
                  <a:schemeClr val="accent1">
                    <a:lumMod val="50000"/>
                  </a:schemeClr>
                </a:solidFill>
                <a:effectLst/>
                <a:latin typeface="Times New Roman" panose="02020603050405020304" pitchFamily="18" charset="0"/>
                <a:ea typeface="+mn-ea"/>
                <a:cs typeface="Times New Roman" panose="02020603050405020304" pitchFamily="18" charset="0"/>
              </a:rPr>
              <a:t>Overall</a:t>
            </a:r>
            <a:r>
              <a:rPr lang="en-GB" sz="1600" b="1" baseline="0">
                <a:solidFill>
                  <a:schemeClr val="accent1">
                    <a:lumMod val="50000"/>
                  </a:schemeClr>
                </a:solidFill>
                <a:effectLst/>
                <a:latin typeface="Times New Roman" panose="02020603050405020304" pitchFamily="18" charset="0"/>
                <a:ea typeface="+mn-ea"/>
                <a:cs typeface="Times New Roman" panose="02020603050405020304" pitchFamily="18" charset="0"/>
              </a:rPr>
              <a:t> Attrition Rate</a:t>
            </a:r>
            <a:endParaRPr lang="en-GB" sz="1200">
              <a:solidFill>
                <a:schemeClr val="accent1">
                  <a:lumMod val="50000"/>
                </a:schemeClr>
              </a:solidFill>
              <a:effectLst/>
              <a:latin typeface="Times New Roman" panose="02020603050405020304" pitchFamily="18" charset="0"/>
              <a:cs typeface="Times New Roman" panose="02020603050405020304" pitchFamily="18" charset="0"/>
            </a:endParaRPr>
          </a:p>
          <a:p>
            <a:pPr algn="ctr"/>
            <a:endParaRPr lang="en-GB" sz="1200">
              <a:solidFill>
                <a:schemeClr val="accent1">
                  <a:lumMod val="50000"/>
                </a:schemeClr>
              </a:solidFill>
              <a:latin typeface="Times New Roman" panose="02020603050405020304" pitchFamily="18" charset="0"/>
              <a:cs typeface="Times New Roman" panose="02020603050405020304" pitchFamily="18" charset="0"/>
            </a:endParaRPr>
          </a:p>
        </xdr:txBody>
      </xdr:sp>
      <xdr:sp macro="" textlink="Analysis!A14">
        <xdr:nvSpPr>
          <xdr:cNvPr id="25" name="TextBox 24">
            <a:extLst>
              <a:ext uri="{FF2B5EF4-FFF2-40B4-BE49-F238E27FC236}">
                <a16:creationId xmlns:a16="http://schemas.microsoft.com/office/drawing/2014/main" id="{0C4044E6-3367-485F-BA38-D9C0182F01F3}"/>
              </a:ext>
            </a:extLst>
          </xdr:cNvPr>
          <xdr:cNvSpPr txBox="1"/>
        </xdr:nvSpPr>
        <xdr:spPr>
          <a:xfrm>
            <a:off x="2254055" y="1347109"/>
            <a:ext cx="1442357" cy="285750"/>
          </a:xfrm>
          <a:prstGeom prst="rect">
            <a:avLst/>
          </a:prstGeom>
          <a:solidFill>
            <a:srgbClr val="376092">
              <a:alpha val="14902"/>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rthographicFront"/>
              <a:lightRig rig="threePt" dir="t"/>
            </a:scene3d>
            <a:sp3d extrusionH="57150">
              <a:bevelT w="38100" h="38100" prst="relaxedInset"/>
            </a:sp3d>
          </a:bodyPr>
          <a:lstStyle/>
          <a:p>
            <a:pPr algn="ctr"/>
            <a:fld id="{E5A46530-9C34-4A26-ACA4-7E38EE7DA16E}" type="TxLink">
              <a:rPr lang="en-US" sz="2400" b="1" i="0" u="none" strike="noStrike">
                <a:solidFill>
                  <a:schemeClr val="accent2"/>
                </a:solidFill>
                <a:effectLst>
                  <a:outerShdw blurRad="50800" dist="38100" dir="8100000" algn="tr" rotWithShape="0">
                    <a:prstClr val="black">
                      <a:alpha val="40000"/>
                    </a:prstClr>
                  </a:outerShdw>
                </a:effectLst>
                <a:latin typeface="Times New Roman" panose="02020603050405020304" pitchFamily="18" charset="0"/>
                <a:ea typeface="Calibri"/>
                <a:cs typeface="Times New Roman" panose="02020603050405020304" pitchFamily="18" charset="0"/>
              </a:rPr>
              <a:t>23%</a:t>
            </a:fld>
            <a:endParaRPr lang="en-US" sz="2400" b="1" i="0" u="none" strike="noStrike">
              <a:solidFill>
                <a:schemeClr val="accent2"/>
              </a:solidFill>
              <a:effectLst>
                <a:outerShdw blurRad="50800" dist="38100" dir="8100000" algn="tr" rotWithShape="0">
                  <a:prstClr val="black">
                    <a:alpha val="40000"/>
                  </a:prstClr>
                </a:outerShdw>
              </a:effectLst>
              <a:latin typeface="Times New Roman" panose="02020603050405020304" pitchFamily="18" charset="0"/>
              <a:ea typeface="Calibri"/>
              <a:cs typeface="Times New Roman" panose="02020603050405020304" pitchFamily="18" charset="0"/>
            </a:endParaRPr>
          </a:p>
        </xdr:txBody>
      </xdr:sp>
    </xdr:grpSp>
    <xdr:clientData/>
  </xdr:twoCellAnchor>
  <xdr:twoCellAnchor>
    <xdr:from>
      <xdr:col>6</xdr:col>
      <xdr:colOff>372835</xdr:colOff>
      <xdr:row>4</xdr:row>
      <xdr:rowOff>127907</xdr:rowOff>
    </xdr:from>
    <xdr:to>
      <xdr:col>9</xdr:col>
      <xdr:colOff>590549</xdr:colOff>
      <xdr:row>10</xdr:row>
      <xdr:rowOff>141516</xdr:rowOff>
    </xdr:to>
    <xdr:grpSp>
      <xdr:nvGrpSpPr>
        <xdr:cNvPr id="26" name="Group 25">
          <a:extLst>
            <a:ext uri="{FF2B5EF4-FFF2-40B4-BE49-F238E27FC236}">
              <a16:creationId xmlns:a16="http://schemas.microsoft.com/office/drawing/2014/main" id="{B481E6EE-2F3A-4891-A418-7EB3DF0FFBFB}"/>
            </a:ext>
          </a:extLst>
        </xdr:cNvPr>
        <xdr:cNvGrpSpPr/>
      </xdr:nvGrpSpPr>
      <xdr:grpSpPr>
        <a:xfrm>
          <a:off x="4030435" y="889907"/>
          <a:ext cx="2046514" cy="1156609"/>
          <a:chOff x="1986643" y="884465"/>
          <a:chExt cx="1728107" cy="1020536"/>
        </a:xfrm>
      </xdr:grpSpPr>
      <xdr:sp macro="" textlink="">
        <xdr:nvSpPr>
          <xdr:cNvPr id="27" name="Rectangle: Rounded Corners 26">
            <a:extLst>
              <a:ext uri="{FF2B5EF4-FFF2-40B4-BE49-F238E27FC236}">
                <a16:creationId xmlns:a16="http://schemas.microsoft.com/office/drawing/2014/main" id="{A263AC1B-EE1C-44F1-BB18-CDCFA08942AE}"/>
              </a:ext>
            </a:extLst>
          </xdr:cNvPr>
          <xdr:cNvSpPr/>
        </xdr:nvSpPr>
        <xdr:spPr>
          <a:xfrm>
            <a:off x="1986643" y="884465"/>
            <a:ext cx="1728107" cy="1020536"/>
          </a:xfrm>
          <a:prstGeom prst="roundRect">
            <a:avLst/>
          </a:prstGeom>
          <a:solidFill>
            <a:srgbClr val="376092">
              <a:alpha val="10196"/>
            </a:srgbClr>
          </a:solidFill>
          <a:ln>
            <a:noFill/>
          </a:ln>
          <a:effectLst>
            <a:outerShdw blurRad="50800" dist="38100" dir="8100000" algn="tr" rotWithShape="0">
              <a:prstClr val="black">
                <a:alpha val="40000"/>
              </a:prst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sp3d/>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600" b="1">
                <a:solidFill>
                  <a:schemeClr val="accent1">
                    <a:lumMod val="50000"/>
                  </a:schemeClr>
                </a:solidFill>
                <a:effectLst/>
                <a:latin typeface="Times New Roman" panose="02020603050405020304" pitchFamily="18" charset="0"/>
                <a:ea typeface="+mn-ea"/>
                <a:cs typeface="Times New Roman" panose="02020603050405020304" pitchFamily="18" charset="0"/>
              </a:rPr>
              <a:t>Average Salary</a:t>
            </a:r>
            <a:endParaRPr lang="en-GB" sz="1200">
              <a:solidFill>
                <a:schemeClr val="accent1">
                  <a:lumMod val="50000"/>
                </a:schemeClr>
              </a:solidFill>
              <a:effectLst/>
              <a:latin typeface="Times New Roman" panose="02020603050405020304" pitchFamily="18" charset="0"/>
              <a:cs typeface="Times New Roman" panose="02020603050405020304" pitchFamily="18" charset="0"/>
            </a:endParaRPr>
          </a:p>
        </xdr:txBody>
      </xdr:sp>
      <xdr:sp macro="" textlink="Analysis!B10">
        <xdr:nvSpPr>
          <xdr:cNvPr id="28" name="TextBox 27">
            <a:extLst>
              <a:ext uri="{FF2B5EF4-FFF2-40B4-BE49-F238E27FC236}">
                <a16:creationId xmlns:a16="http://schemas.microsoft.com/office/drawing/2014/main" id="{97DA18F4-739C-476B-A534-273E7175C4DA}"/>
              </a:ext>
            </a:extLst>
          </xdr:cNvPr>
          <xdr:cNvSpPr txBox="1"/>
        </xdr:nvSpPr>
        <xdr:spPr>
          <a:xfrm>
            <a:off x="2122715" y="1347109"/>
            <a:ext cx="1442357" cy="285750"/>
          </a:xfrm>
          <a:prstGeom prst="rect">
            <a:avLst/>
          </a:prstGeom>
          <a:solidFill>
            <a:srgbClr val="376092">
              <a:alpha val="14902"/>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rthographicFront"/>
              <a:lightRig rig="threePt" dir="t"/>
            </a:scene3d>
            <a:sp3d extrusionH="57150">
              <a:bevelT w="38100" h="38100" prst="relaxedInset"/>
            </a:sp3d>
          </a:bodyPr>
          <a:lstStyle/>
          <a:p>
            <a:pPr algn="ctr"/>
            <a:fld id="{3D5D0146-5ED8-4452-8F68-0513A810AF53}" type="TxLink">
              <a:rPr lang="en-US" sz="2400" b="1" i="0" u="none" strike="noStrike">
                <a:solidFill>
                  <a:schemeClr val="accent2"/>
                </a:solidFill>
                <a:effectLst>
                  <a:outerShdw blurRad="50800" dist="38100" dir="8100000" algn="tr" rotWithShape="0">
                    <a:prstClr val="black">
                      <a:alpha val="40000"/>
                    </a:prstClr>
                  </a:outerShdw>
                </a:effectLst>
                <a:latin typeface="Times New Roman" panose="02020603050405020304" pitchFamily="18" charset="0"/>
                <a:ea typeface="Calibri"/>
                <a:cs typeface="Times New Roman" panose="02020603050405020304" pitchFamily="18" charset="0"/>
              </a:rPr>
              <a:t>$83,483</a:t>
            </a:fld>
            <a:endParaRPr lang="en-US" sz="2400" b="1" i="0" u="none" strike="noStrike">
              <a:solidFill>
                <a:schemeClr val="accent2"/>
              </a:solidFill>
              <a:effectLst>
                <a:outerShdw blurRad="50800" dist="38100" dir="8100000" algn="tr" rotWithShape="0">
                  <a:prstClr val="black">
                    <a:alpha val="40000"/>
                  </a:prstClr>
                </a:outerShdw>
              </a:effectLst>
              <a:latin typeface="Times New Roman" panose="02020603050405020304" pitchFamily="18" charset="0"/>
              <a:ea typeface="Calibri"/>
              <a:cs typeface="Times New Roman" panose="02020603050405020304" pitchFamily="18" charset="0"/>
            </a:endParaRPr>
          </a:p>
        </xdr:txBody>
      </xdr:sp>
    </xdr:grpSp>
    <xdr:clientData/>
  </xdr:twoCellAnchor>
  <xdr:twoCellAnchor editAs="oneCell">
    <xdr:from>
      <xdr:col>14</xdr:col>
      <xdr:colOff>179615</xdr:colOff>
      <xdr:row>4</xdr:row>
      <xdr:rowOff>5445</xdr:rowOff>
    </xdr:from>
    <xdr:to>
      <xdr:col>18</xdr:col>
      <xdr:colOff>13606</xdr:colOff>
      <xdr:row>10</xdr:row>
      <xdr:rowOff>122467</xdr:rowOff>
    </xdr:to>
    <mc:AlternateContent xmlns:mc="http://schemas.openxmlformats.org/markup-compatibility/2006">
      <mc:Choice xmlns:a14="http://schemas.microsoft.com/office/drawing/2010/main" Requires="a14">
        <xdr:graphicFrame macro="">
          <xdr:nvGraphicFramePr>
            <xdr:cNvPr id="3" name="Department Name">
              <a:extLst>
                <a:ext uri="{FF2B5EF4-FFF2-40B4-BE49-F238E27FC236}">
                  <a16:creationId xmlns:a16="http://schemas.microsoft.com/office/drawing/2014/main" id="{3F8532D5-448E-4B36-83E7-39C1DAFC1D69}"/>
                </a:ext>
              </a:extLst>
            </xdr:cNvPr>
            <xdr:cNvGraphicFramePr/>
          </xdr:nvGraphicFramePr>
          <xdr:xfrm>
            <a:off x="0" y="0"/>
            <a:ext cx="0" cy="0"/>
          </xdr:xfrm>
          <a:graphic>
            <a:graphicData uri="http://schemas.microsoft.com/office/drawing/2010/slicer">
              <sle:slicer xmlns:sle="http://schemas.microsoft.com/office/drawing/2010/slicer" name="Department Name"/>
            </a:graphicData>
          </a:graphic>
        </xdr:graphicFrame>
      </mc:Choice>
      <mc:Fallback>
        <xdr:sp macro="" textlink="">
          <xdr:nvSpPr>
            <xdr:cNvPr id="0" name=""/>
            <xdr:cNvSpPr>
              <a:spLocks noTextEdit="1"/>
            </xdr:cNvSpPr>
          </xdr:nvSpPr>
          <xdr:spPr>
            <a:xfrm>
              <a:off x="8714015" y="767445"/>
              <a:ext cx="2272391" cy="12600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166004</xdr:colOff>
      <xdr:row>25</xdr:row>
      <xdr:rowOff>55790</xdr:rowOff>
    </xdr:from>
    <xdr:to>
      <xdr:col>18</xdr:col>
      <xdr:colOff>2718</xdr:colOff>
      <xdr:row>34</xdr:row>
      <xdr:rowOff>136071</xdr:rowOff>
    </xdr:to>
    <mc:AlternateContent xmlns:mc="http://schemas.openxmlformats.org/markup-compatibility/2006">
      <mc:Choice xmlns:a14="http://schemas.microsoft.com/office/drawing/2010/main" Requires="a14">
        <xdr:graphicFrame macro="">
          <xdr:nvGraphicFramePr>
            <xdr:cNvPr id="4" name="Performance Band">
              <a:extLst>
                <a:ext uri="{FF2B5EF4-FFF2-40B4-BE49-F238E27FC236}">
                  <a16:creationId xmlns:a16="http://schemas.microsoft.com/office/drawing/2014/main" id="{3D3FD214-7581-49CA-90A8-9A7983CD1A7D}"/>
                </a:ext>
              </a:extLst>
            </xdr:cNvPr>
            <xdr:cNvGraphicFramePr/>
          </xdr:nvGraphicFramePr>
          <xdr:xfrm>
            <a:off x="0" y="0"/>
            <a:ext cx="0" cy="0"/>
          </xdr:xfrm>
          <a:graphic>
            <a:graphicData uri="http://schemas.microsoft.com/office/drawing/2010/slicer">
              <sle:slicer xmlns:sle="http://schemas.microsoft.com/office/drawing/2010/slicer" name="Performance Band"/>
            </a:graphicData>
          </a:graphic>
        </xdr:graphicFrame>
      </mc:Choice>
      <mc:Fallback>
        <xdr:sp macro="" textlink="">
          <xdr:nvSpPr>
            <xdr:cNvPr id="0" name=""/>
            <xdr:cNvSpPr>
              <a:spLocks noTextEdit="1"/>
            </xdr:cNvSpPr>
          </xdr:nvSpPr>
          <xdr:spPr>
            <a:xfrm>
              <a:off x="8700404" y="4818290"/>
              <a:ext cx="2275114" cy="179478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167367</xdr:colOff>
      <xdr:row>11</xdr:row>
      <xdr:rowOff>35381</xdr:rowOff>
    </xdr:from>
    <xdr:to>
      <xdr:col>18</xdr:col>
      <xdr:colOff>4081</xdr:colOff>
      <xdr:row>17</xdr:row>
      <xdr:rowOff>108859</xdr:rowOff>
    </xdr:to>
    <mc:AlternateContent xmlns:mc="http://schemas.openxmlformats.org/markup-compatibility/2006">
      <mc:Choice xmlns:a14="http://schemas.microsoft.com/office/drawing/2010/main" Requires="a14">
        <xdr:graphicFrame macro="">
          <xdr:nvGraphicFramePr>
            <xdr:cNvPr id="5" name="Years">
              <a:extLst>
                <a:ext uri="{FF2B5EF4-FFF2-40B4-BE49-F238E27FC236}">
                  <a16:creationId xmlns:a16="http://schemas.microsoft.com/office/drawing/2014/main" id="{4C0CA8BB-A9D8-4D2E-9869-731EC4343045}"/>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8701767" y="2130881"/>
              <a:ext cx="2275114" cy="12164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175533</xdr:colOff>
      <xdr:row>18</xdr:row>
      <xdr:rowOff>35381</xdr:rowOff>
    </xdr:from>
    <xdr:to>
      <xdr:col>18</xdr:col>
      <xdr:colOff>12247</xdr:colOff>
      <xdr:row>24</xdr:row>
      <xdr:rowOff>122467</xdr:rowOff>
    </xdr:to>
    <mc:AlternateContent xmlns:mc="http://schemas.openxmlformats.org/markup-compatibility/2006">
      <mc:Choice xmlns:a14="http://schemas.microsoft.com/office/drawing/2010/main" Requires="a14">
        <xdr:graphicFrame macro="">
          <xdr:nvGraphicFramePr>
            <xdr:cNvPr id="2" name="Employment Status">
              <a:extLst>
                <a:ext uri="{FF2B5EF4-FFF2-40B4-BE49-F238E27FC236}">
                  <a16:creationId xmlns:a16="http://schemas.microsoft.com/office/drawing/2014/main" id="{811C125A-12EB-4A97-B784-AB06EC93D482}"/>
                </a:ext>
              </a:extLst>
            </xdr:cNvPr>
            <xdr:cNvGraphicFramePr/>
          </xdr:nvGraphicFramePr>
          <xdr:xfrm>
            <a:off x="0" y="0"/>
            <a:ext cx="0" cy="0"/>
          </xdr:xfrm>
          <a:graphic>
            <a:graphicData uri="http://schemas.microsoft.com/office/drawing/2010/slicer">
              <sle:slicer xmlns:sle="http://schemas.microsoft.com/office/drawing/2010/slicer" name="Employment Status"/>
            </a:graphicData>
          </a:graphic>
        </xdr:graphicFrame>
      </mc:Choice>
      <mc:Fallback>
        <xdr:sp macro="" textlink="">
          <xdr:nvSpPr>
            <xdr:cNvPr id="0" name=""/>
            <xdr:cNvSpPr>
              <a:spLocks noTextEdit="1"/>
            </xdr:cNvSpPr>
          </xdr:nvSpPr>
          <xdr:spPr>
            <a:xfrm>
              <a:off x="8709933" y="3464381"/>
              <a:ext cx="2275114" cy="12300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544284</xdr:colOff>
      <xdr:row>11</xdr:row>
      <xdr:rowOff>68037</xdr:rowOff>
    </xdr:from>
    <xdr:to>
      <xdr:col>8</xdr:col>
      <xdr:colOff>202405</xdr:colOff>
      <xdr:row>23</xdr:row>
      <xdr:rowOff>23813</xdr:rowOff>
    </xdr:to>
    <xdr:sp macro="" textlink="">
      <xdr:nvSpPr>
        <xdr:cNvPr id="30" name="Rectangle: Rounded Corners 29">
          <a:extLst>
            <a:ext uri="{FF2B5EF4-FFF2-40B4-BE49-F238E27FC236}">
              <a16:creationId xmlns:a16="http://schemas.microsoft.com/office/drawing/2014/main" id="{8EA1D637-3CB2-4E76-B6BD-1364DEAFC5AF}"/>
            </a:ext>
          </a:extLst>
        </xdr:cNvPr>
        <xdr:cNvSpPr/>
      </xdr:nvSpPr>
      <xdr:spPr>
        <a:xfrm>
          <a:off x="1758722" y="2163537"/>
          <a:ext cx="3301433" cy="2241776"/>
        </a:xfrm>
        <a:prstGeom prst="roundRect">
          <a:avLst>
            <a:gd name="adj" fmla="val 7377"/>
          </a:avLst>
        </a:prstGeom>
        <a:solidFill>
          <a:srgbClr val="376092">
            <a:alpha val="10196"/>
          </a:srgbClr>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541903</xdr:colOff>
      <xdr:row>23</xdr:row>
      <xdr:rowOff>77561</xdr:rowOff>
    </xdr:from>
    <xdr:to>
      <xdr:col>8</xdr:col>
      <xdr:colOff>199575</xdr:colOff>
      <xdr:row>35</xdr:row>
      <xdr:rowOff>33337</xdr:rowOff>
    </xdr:to>
    <xdr:sp macro="" textlink="">
      <xdr:nvSpPr>
        <xdr:cNvPr id="34" name="Rectangle: Rounded Corners 33">
          <a:extLst>
            <a:ext uri="{FF2B5EF4-FFF2-40B4-BE49-F238E27FC236}">
              <a16:creationId xmlns:a16="http://schemas.microsoft.com/office/drawing/2014/main" id="{A8F69D98-4893-48CF-98BB-1462367C0671}"/>
            </a:ext>
          </a:extLst>
        </xdr:cNvPr>
        <xdr:cNvSpPr/>
      </xdr:nvSpPr>
      <xdr:spPr>
        <a:xfrm>
          <a:off x="1756341" y="4459061"/>
          <a:ext cx="3300984" cy="2241776"/>
        </a:xfrm>
        <a:prstGeom prst="roundRect">
          <a:avLst>
            <a:gd name="adj" fmla="val 7377"/>
          </a:avLst>
        </a:prstGeom>
        <a:solidFill>
          <a:srgbClr val="376092">
            <a:alpha val="10196"/>
          </a:srgbClr>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351403</xdr:colOff>
      <xdr:row>11</xdr:row>
      <xdr:rowOff>77562</xdr:rowOff>
    </xdr:from>
    <xdr:to>
      <xdr:col>14</xdr:col>
      <xdr:colOff>9523</xdr:colOff>
      <xdr:row>23</xdr:row>
      <xdr:rowOff>33338</xdr:rowOff>
    </xdr:to>
    <xdr:sp macro="" textlink="">
      <xdr:nvSpPr>
        <xdr:cNvPr id="37" name="Rectangle: Rounded Corners 36">
          <a:extLst>
            <a:ext uri="{FF2B5EF4-FFF2-40B4-BE49-F238E27FC236}">
              <a16:creationId xmlns:a16="http://schemas.microsoft.com/office/drawing/2014/main" id="{3BE554CF-9489-40A3-83F3-F92F27982356}"/>
            </a:ext>
          </a:extLst>
        </xdr:cNvPr>
        <xdr:cNvSpPr/>
      </xdr:nvSpPr>
      <xdr:spPr>
        <a:xfrm>
          <a:off x="5209153" y="2173062"/>
          <a:ext cx="3301433" cy="2241776"/>
        </a:xfrm>
        <a:prstGeom prst="roundRect">
          <a:avLst>
            <a:gd name="adj" fmla="val 7377"/>
          </a:avLst>
        </a:prstGeom>
        <a:solidFill>
          <a:srgbClr val="376092">
            <a:alpha val="10196"/>
          </a:srgbClr>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349022</xdr:colOff>
      <xdr:row>23</xdr:row>
      <xdr:rowOff>87086</xdr:rowOff>
    </xdr:from>
    <xdr:to>
      <xdr:col>14</xdr:col>
      <xdr:colOff>6693</xdr:colOff>
      <xdr:row>35</xdr:row>
      <xdr:rowOff>42862</xdr:rowOff>
    </xdr:to>
    <xdr:sp macro="" textlink="">
      <xdr:nvSpPr>
        <xdr:cNvPr id="38" name="Rectangle: Rounded Corners 37">
          <a:extLst>
            <a:ext uri="{FF2B5EF4-FFF2-40B4-BE49-F238E27FC236}">
              <a16:creationId xmlns:a16="http://schemas.microsoft.com/office/drawing/2014/main" id="{3D46F028-D162-441F-BDD7-CAA5A7EC4A29}"/>
            </a:ext>
          </a:extLst>
        </xdr:cNvPr>
        <xdr:cNvSpPr/>
      </xdr:nvSpPr>
      <xdr:spPr>
        <a:xfrm>
          <a:off x="5206772" y="4468586"/>
          <a:ext cx="3300984" cy="2241776"/>
        </a:xfrm>
        <a:prstGeom prst="roundRect">
          <a:avLst>
            <a:gd name="adj" fmla="val 7377"/>
          </a:avLst>
        </a:prstGeom>
        <a:solidFill>
          <a:srgbClr val="376092">
            <a:alpha val="10196"/>
          </a:srgbClr>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598715</xdr:colOff>
      <xdr:row>11</xdr:row>
      <xdr:rowOff>136071</xdr:rowOff>
    </xdr:from>
    <xdr:to>
      <xdr:col>8</xdr:col>
      <xdr:colOff>149679</xdr:colOff>
      <xdr:row>22</xdr:row>
      <xdr:rowOff>163286</xdr:rowOff>
    </xdr:to>
    <xdr:graphicFrame macro="">
      <xdr:nvGraphicFramePr>
        <xdr:cNvPr id="39" name="Chart 38">
          <a:extLst>
            <a:ext uri="{FF2B5EF4-FFF2-40B4-BE49-F238E27FC236}">
              <a16:creationId xmlns:a16="http://schemas.microsoft.com/office/drawing/2014/main" id="{93BAA559-E0E6-4345-85FF-15FE4C821F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383153</xdr:colOff>
      <xdr:row>11</xdr:row>
      <xdr:rowOff>142874</xdr:rowOff>
    </xdr:from>
    <xdr:to>
      <xdr:col>13</xdr:col>
      <xdr:colOff>539750</xdr:colOff>
      <xdr:row>22</xdr:row>
      <xdr:rowOff>126999</xdr:rowOff>
    </xdr:to>
    <xdr:graphicFrame macro="">
      <xdr:nvGraphicFramePr>
        <xdr:cNvPr id="40" name="Chart 39">
          <a:extLst>
            <a:ext uri="{FF2B5EF4-FFF2-40B4-BE49-F238E27FC236}">
              <a16:creationId xmlns:a16="http://schemas.microsoft.com/office/drawing/2014/main" id="{E248F9C9-AE61-4223-8A4B-6BD7C38800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0</xdr:colOff>
      <xdr:row>23</xdr:row>
      <xdr:rowOff>142875</xdr:rowOff>
    </xdr:from>
    <xdr:to>
      <xdr:col>8</xdr:col>
      <xdr:colOff>126999</xdr:colOff>
      <xdr:row>34</xdr:row>
      <xdr:rowOff>158749</xdr:rowOff>
    </xdr:to>
    <xdr:graphicFrame macro="">
      <xdr:nvGraphicFramePr>
        <xdr:cNvPr id="41" name="Chart 40">
          <a:extLst>
            <a:ext uri="{FF2B5EF4-FFF2-40B4-BE49-F238E27FC236}">
              <a16:creationId xmlns:a16="http://schemas.microsoft.com/office/drawing/2014/main" id="{091E1AEA-9AF9-4D37-8028-3F3242A69E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449036</xdr:colOff>
      <xdr:row>23</xdr:row>
      <xdr:rowOff>136071</xdr:rowOff>
    </xdr:from>
    <xdr:to>
      <xdr:col>13</xdr:col>
      <xdr:colOff>530678</xdr:colOff>
      <xdr:row>34</xdr:row>
      <xdr:rowOff>176893</xdr:rowOff>
    </xdr:to>
    <xdr:graphicFrame macro="">
      <xdr:nvGraphicFramePr>
        <xdr:cNvPr id="42" name="Chart 41">
          <a:extLst>
            <a:ext uri="{FF2B5EF4-FFF2-40B4-BE49-F238E27FC236}">
              <a16:creationId xmlns:a16="http://schemas.microsoft.com/office/drawing/2014/main" id="{15786739-E7B1-47F3-A7DF-F3E3C87FF3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xdr:col>
      <xdr:colOff>284730</xdr:colOff>
      <xdr:row>1</xdr:row>
      <xdr:rowOff>25854</xdr:rowOff>
    </xdr:from>
    <xdr:to>
      <xdr:col>5</xdr:col>
      <xdr:colOff>592421</xdr:colOff>
      <xdr:row>3</xdr:row>
      <xdr:rowOff>12247</xdr:rowOff>
    </xdr:to>
    <xdr:pic>
      <xdr:nvPicPr>
        <xdr:cNvPr id="46" name="Picture 45">
          <a:extLst>
            <a:ext uri="{FF2B5EF4-FFF2-40B4-BE49-F238E27FC236}">
              <a16:creationId xmlns:a16="http://schemas.microsoft.com/office/drawing/2014/main" id="{1E9856F8-5FCC-47CF-B28A-79CF41029FDB}"/>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15233" t="6632" r="11869" b="11734"/>
        <a:stretch/>
      </xdr:blipFill>
      <xdr:spPr>
        <a:xfrm flipH="1">
          <a:off x="3332730" y="216354"/>
          <a:ext cx="307691" cy="36739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adijat Oyedeji" refreshedDate="46211.344620601849" createdVersion="7" refreshedVersion="7" minRefreshableVersion="3" recordCount="149" xr:uid="{DEDA70DD-6FF1-4BF1-AF9B-8C8F4190778F}">
  <cacheSource type="worksheet">
    <worksheetSource ref="B1:N150" sheet="Raw_Employee_Data"/>
  </cacheSource>
  <cacheFields count="15">
    <cacheField name="Emp ID" numFmtId="0">
      <sharedItems count="149">
        <s v="EMP127"/>
        <s v="EMP046"/>
        <s v="EMP134"/>
        <s v="EMP139"/>
        <s v="EMP112"/>
        <s v="EMP030"/>
        <s v="EMP096"/>
        <s v="EMP098"/>
        <s v="EMP140"/>
        <s v="EMP020"/>
        <s v="EMP057"/>
        <s v="EMP016"/>
        <s v="EMP070"/>
        <s v="EMP025"/>
        <s v="EMP031"/>
        <s v="EMP126"/>
        <s v="EMP109"/>
        <s v="EMP066"/>
        <s v="EMP120"/>
        <s v="EMP019"/>
        <s v="EMP013"/>
        <s v="EMP010"/>
        <s v="EMP032"/>
        <s v="EMP082"/>
        <s v="EMP052"/>
        <s v="EMP129"/>
        <s v="EMP146"/>
        <s v="EMP099"/>
        <s v="EMP015"/>
        <s v="EMP076"/>
        <s v="EMP137"/>
        <s v="EMP056"/>
        <s v="EMP125"/>
        <s v="EMP085"/>
        <s v="EMP106"/>
        <s v="EMP043"/>
        <s v="EMP068"/>
        <s v="EMP128"/>
        <s v="EMP027"/>
        <s v="EMP136"/>
        <s v="EMP079"/>
        <s v="EMP149"/>
        <s v="EMP037"/>
        <s v="EMP077"/>
        <s v="EMP023"/>
        <s v="EMP133"/>
        <s v="EMP141"/>
        <s v="EMP012"/>
        <s v="EMP080"/>
        <s v="EMP069"/>
        <s v="EMP150"/>
        <s v="EMP028"/>
        <s v="EMP087"/>
        <s v="EMP119"/>
        <s v="EMP042"/>
        <s v="EMP005"/>
        <s v="EMP033"/>
        <s v="EMP061"/>
        <s v="EMP102"/>
        <s v="EMP067"/>
        <s v="EMP017"/>
        <s v="EMP123"/>
        <s v="EMP011"/>
        <s v="EMP091"/>
        <s v="EMP145"/>
        <s v="EMP001"/>
        <s v="EMP113"/>
        <s v="EMP065"/>
        <s v="EMP045"/>
        <s v="EMP083"/>
        <s v="EMP029"/>
        <s v="EMP041"/>
        <s v="EMP026"/>
        <s v="EMP024"/>
        <s v="EMP111"/>
        <s v="EMP040"/>
        <s v="EMP086"/>
        <s v="EMP124"/>
        <s v="EMP132"/>
        <s v="EMP048"/>
        <s v="EMP114"/>
        <s v="EMP062"/>
        <s v="EMP074"/>
        <s v="EMP034"/>
        <s v="EMP105"/>
        <s v="EMP118"/>
        <s v="EMP063"/>
        <s v="EMP094"/>
        <s v="EMP097"/>
        <s v="EMP054"/>
        <s v="EMP006"/>
        <s v="EMP110"/>
        <s v="EMP147"/>
        <s v="EMP050"/>
        <s v="EMP036"/>
        <s v="EMP081"/>
        <s v="EMP078"/>
        <s v="EMP035"/>
        <s v="EMP047"/>
        <s v="EMP008"/>
        <s v="EMP044"/>
        <s v="EMP071"/>
        <s v="EMP115"/>
        <s v="EMP092"/>
        <s v="EMP084"/>
        <s v="EMP142"/>
        <s v="EMP143"/>
        <s v="EMP090"/>
        <s v="EMP009"/>
        <s v="EMP014"/>
        <s v="EMP060"/>
        <s v="EMP135"/>
        <s v="EMP004"/>
        <s v="EMP018"/>
        <s v="EMP039"/>
        <s v="EMP073"/>
        <s v="EMP138"/>
        <s v="EMP007"/>
        <s v="EMP144"/>
        <s v="EMP101"/>
        <s v="EMP003"/>
        <s v="EMP121"/>
        <s v="EMP064"/>
        <s v="EMP116"/>
        <s v="EMP055"/>
        <s v="EMP108"/>
        <s v="EMP051"/>
        <s v="EMP059"/>
        <s v="EMP049"/>
        <s v="EMP089"/>
        <s v="EMP022"/>
        <s v="EMP058"/>
        <s v="EMP130"/>
        <s v="EMP038"/>
        <s v="EMP148"/>
        <s v="EMP002"/>
        <s v="EMP053"/>
        <s v="EMP131"/>
        <s v="EMP104"/>
        <s v="EMP100"/>
        <s v="EMP117"/>
        <s v="EMP088"/>
        <s v="EMP075"/>
        <s v="EMP122"/>
        <s v="EMP021"/>
        <s v="EMP072"/>
        <s v="EMP107"/>
        <s v="EMP093"/>
        <s v="EMP103"/>
      </sharedItems>
    </cacheField>
    <cacheField name="First_Name" numFmtId="0">
      <sharedItems containsBlank="1"/>
    </cacheField>
    <cacheField name="Last_Name" numFmtId="0">
      <sharedItems/>
    </cacheField>
    <cacheField name="Dept Code" numFmtId="0">
      <sharedItems/>
    </cacheField>
    <cacheField name="Hire Date" numFmtId="14">
      <sharedItems containsSemiMixedTypes="0" containsNonDate="0" containsDate="1" containsString="0" minDate="2015-01-04T00:00:00" maxDate="2023-12-13T00:00:00" count="146">
        <d v="2017-12-24T00:00:00"/>
        <d v="2022-04-08T00:00:00"/>
        <d v="2016-03-02T00:00:00"/>
        <d v="2023-07-03T00:00:00"/>
        <d v="2023-02-20T00:00:00"/>
        <d v="2020-03-02T00:00:00"/>
        <d v="2023-12-12T00:00:00"/>
        <d v="2020-12-09T00:00:00"/>
        <d v="2016-11-02T00:00:00"/>
        <d v="2020-03-21T00:00:00"/>
        <d v="2016-02-25T00:00:00"/>
        <d v="2021-06-17T00:00:00"/>
        <d v="2020-06-19T00:00:00"/>
        <d v="2019-12-21T00:00:00"/>
        <d v="2023-08-31T00:00:00"/>
        <d v="2015-11-29T00:00:00"/>
        <d v="2017-06-13T00:00:00"/>
        <d v="2018-05-15T00:00:00"/>
        <d v="2016-07-24T00:00:00"/>
        <d v="2017-12-07T00:00:00"/>
        <d v="2021-06-06T00:00:00"/>
        <d v="2022-09-11T00:00:00"/>
        <d v="2016-07-14T00:00:00"/>
        <d v="2022-06-16T00:00:00"/>
        <d v="2023-07-27T00:00:00"/>
        <d v="2019-09-24T00:00:00"/>
        <d v="2022-07-23T00:00:00"/>
        <d v="2018-05-13T00:00:00"/>
        <d v="2015-07-17T00:00:00"/>
        <d v="2015-08-05T00:00:00"/>
        <d v="2023-09-26T00:00:00"/>
        <d v="2019-06-10T00:00:00"/>
        <d v="2022-01-17T00:00:00"/>
        <d v="2017-07-03T00:00:00"/>
        <d v="2015-09-01T00:00:00"/>
        <d v="2022-08-03T00:00:00"/>
        <d v="2022-06-29T00:00:00"/>
        <d v="2020-04-28T00:00:00"/>
        <d v="2017-09-09T00:00:00"/>
        <d v="2018-03-22T00:00:00"/>
        <d v="2020-05-07T00:00:00"/>
        <d v="2019-03-25T00:00:00"/>
        <d v="2019-08-09T00:00:00"/>
        <d v="2016-10-04T00:00:00"/>
        <d v="2019-07-10T00:00:00"/>
        <d v="2021-08-29T00:00:00"/>
        <d v="2017-01-26T00:00:00"/>
        <d v="2020-05-30T00:00:00"/>
        <d v="2022-02-20T00:00:00"/>
        <d v="2016-09-15T00:00:00"/>
        <d v="2019-10-07T00:00:00"/>
        <d v="2018-12-30T00:00:00"/>
        <d v="2020-12-24T00:00:00"/>
        <d v="2023-07-05T00:00:00"/>
        <d v="2020-11-13T00:00:00"/>
        <d v="2018-02-07T00:00:00"/>
        <d v="2023-11-25T00:00:00"/>
        <d v="2023-10-18T00:00:00"/>
        <d v="2020-09-05T00:00:00"/>
        <d v="2017-03-06T00:00:00"/>
        <d v="2015-04-28T00:00:00"/>
        <d v="2017-04-13T00:00:00"/>
        <d v="2022-09-23T00:00:00"/>
        <d v="2016-11-11T00:00:00"/>
        <d v="2017-03-24T00:00:00"/>
        <d v="2019-05-05T00:00:00"/>
        <d v="2021-07-25T00:00:00"/>
        <d v="2017-09-30T00:00:00"/>
        <d v="2015-07-07T00:00:00"/>
        <d v="2018-07-02T00:00:00"/>
        <d v="2022-09-15T00:00:00"/>
        <d v="2015-09-02T00:00:00"/>
        <d v="2016-10-11T00:00:00"/>
        <d v="2019-04-20T00:00:00"/>
        <d v="2017-02-19T00:00:00"/>
        <d v="2021-09-07T00:00:00"/>
        <d v="2019-05-14T00:00:00"/>
        <d v="2015-11-22T00:00:00"/>
        <d v="2018-09-29T00:00:00"/>
        <d v="2023-09-02T00:00:00"/>
        <d v="2022-07-17T00:00:00"/>
        <d v="2021-02-07T00:00:00"/>
        <d v="2023-10-04T00:00:00"/>
        <d v="2020-08-30T00:00:00"/>
        <d v="2021-08-14T00:00:00"/>
        <d v="2019-11-27T00:00:00"/>
        <d v="2017-05-25T00:00:00"/>
        <d v="2018-12-02T00:00:00"/>
        <d v="2019-06-23T00:00:00"/>
        <d v="2015-10-27T00:00:00"/>
        <d v="2018-06-19T00:00:00"/>
        <d v="2018-01-12T00:00:00"/>
        <d v="2015-01-04T00:00:00"/>
        <d v="2018-12-05T00:00:00"/>
        <d v="2021-10-13T00:00:00"/>
        <d v="2020-09-07T00:00:00"/>
        <d v="2019-03-08T00:00:00"/>
        <d v="2015-03-11T00:00:00"/>
        <d v="2023-05-09T00:00:00"/>
        <d v="2018-01-22T00:00:00"/>
        <d v="2020-02-18T00:00:00"/>
        <d v="2016-05-22T00:00:00"/>
        <d v="2021-06-02T00:00:00"/>
        <d v="2021-07-17T00:00:00"/>
        <d v="2016-11-13T00:00:00"/>
        <d v="2019-02-17T00:00:00"/>
        <d v="2016-09-12T00:00:00"/>
        <d v="2021-08-13T00:00:00"/>
        <d v="2020-06-14T00:00:00"/>
        <d v="2022-07-05T00:00:00"/>
        <d v="2016-07-10T00:00:00"/>
        <d v="2022-04-23T00:00:00"/>
        <d v="2017-05-10T00:00:00"/>
        <d v="2020-05-20T00:00:00"/>
        <d v="2023-04-20T00:00:00"/>
        <d v="2021-10-31T00:00:00"/>
        <d v="2021-10-24T00:00:00"/>
        <d v="2017-08-09T00:00:00"/>
        <d v="2023-01-04T00:00:00"/>
        <d v="2020-08-10T00:00:00"/>
        <d v="2022-04-02T00:00:00"/>
        <d v="2018-03-24T00:00:00"/>
        <d v="2018-07-24T00:00:00"/>
        <d v="2018-07-20T00:00:00"/>
        <d v="2016-03-04T00:00:00"/>
        <d v="2022-03-23T00:00:00"/>
        <d v="2017-07-28T00:00:00"/>
        <d v="2023-05-11T00:00:00"/>
        <d v="2022-03-19T00:00:00"/>
        <d v="2017-12-22T00:00:00"/>
        <d v="2018-09-17T00:00:00"/>
        <d v="2021-06-28T00:00:00"/>
        <d v="2017-10-03T00:00:00"/>
        <d v="2015-10-22T00:00:00"/>
        <d v="2018-06-06T00:00:00"/>
        <d v="2017-07-16T00:00:00"/>
        <d v="2015-06-20T00:00:00"/>
        <d v="2019-05-24T00:00:00"/>
        <d v="2020-02-26T00:00:00"/>
        <d v="2023-03-06T00:00:00"/>
        <d v="2019-01-12T00:00:00"/>
        <d v="2023-04-21T00:00:00"/>
        <d v="2016-05-29T00:00:00"/>
        <d v="2022-05-30T00:00:00"/>
        <d v="2016-11-03T00:00:00"/>
        <d v="2022-10-14T00:00:00"/>
      </sharedItems>
      <fieldGroup par="14" base="4">
        <rangePr groupBy="months" startDate="2015-01-04T00:00:00" endDate="2023-12-13T00:00:00"/>
        <groupItems count="14">
          <s v="&lt;1/4/2015"/>
          <s v="Jan"/>
          <s v="Feb"/>
          <s v="Mar"/>
          <s v="Apr"/>
          <s v="May"/>
          <s v="Jun"/>
          <s v="Jul"/>
          <s v="Aug"/>
          <s v="Sep"/>
          <s v="Oct"/>
          <s v="Nov"/>
          <s v="Dec"/>
          <s v="&gt;12/13/2023"/>
        </groupItems>
      </fieldGroup>
    </cacheField>
    <cacheField name="Salary" numFmtId="165">
      <sharedItems containsSemiMixedTypes="0" containsString="0" containsNumber="1" minValue="45196" maxValue="118947"/>
    </cacheField>
    <cacheField name="Perf_Score" numFmtId="1">
      <sharedItems containsSemiMixedTypes="0" containsString="0" containsNumber="1" containsInteger="1" minValue="30" maxValue="99"/>
    </cacheField>
    <cacheField name="Employment Status" numFmtId="0">
      <sharedItems count="3">
        <s v="Active"/>
        <s v="Left"/>
        <s v="Resigned"/>
      </sharedItems>
    </cacheField>
    <cacheField name="Full Name" numFmtId="0">
      <sharedItems/>
    </cacheField>
    <cacheField name="Department Name" numFmtId="0">
      <sharedItems count="6">
        <s v="Information Technology"/>
        <s v="Marketing"/>
        <s v="Finance"/>
        <s v="Operations"/>
        <s v="Sales"/>
        <s v="Human Resources"/>
      </sharedItems>
    </cacheField>
    <cacheField name="Years of Service" numFmtId="1">
      <sharedItems containsSemiMixedTypes="0" containsString="0" containsNumber="1" containsInteger="1" minValue="2" maxValue="11"/>
    </cacheField>
    <cacheField name="Performance Band" numFmtId="0">
      <sharedItems count="5">
        <s v="Developing"/>
        <s v="Achieving"/>
        <s v="Needs Improvement"/>
        <s v="Exceeding"/>
        <s v="Outstanding"/>
      </sharedItems>
    </cacheField>
    <cacheField name="Eligible Bonus Amount" numFmtId="164">
      <sharedItems containsSemiMixedTypes="0" containsString="0" containsNumber="1" minValue="0" maxValue="14273.64"/>
    </cacheField>
    <cacheField name="Quarters" numFmtId="0" databaseField="0">
      <fieldGroup base="4">
        <rangePr groupBy="quarters" startDate="2015-01-04T00:00:00" endDate="2023-12-13T00:00:00"/>
        <groupItems count="6">
          <s v="&lt;1/4/2015"/>
          <s v="Qtr1"/>
          <s v="Qtr2"/>
          <s v="Qtr3"/>
          <s v="Qtr4"/>
          <s v="&gt;12/13/2023"/>
        </groupItems>
      </fieldGroup>
    </cacheField>
    <cacheField name="Years" numFmtId="0" databaseField="0">
      <fieldGroup base="4">
        <rangePr groupBy="years" startDate="2015-01-04T00:00:00" endDate="2023-12-13T00:00:00"/>
        <groupItems count="11">
          <s v="&lt;1/4/2015"/>
          <s v="2015"/>
          <s v="2016"/>
          <s v="2017"/>
          <s v="2018"/>
          <s v="2019"/>
          <s v="2020"/>
          <s v="2021"/>
          <s v="2022"/>
          <s v="2023"/>
          <s v="&gt;12/13/2023"/>
        </groupItems>
      </fieldGroup>
    </cacheField>
  </cacheFields>
  <extLst>
    <ext xmlns:x14="http://schemas.microsoft.com/office/spreadsheetml/2009/9/main" uri="{725AE2AE-9491-48be-B2B4-4EB974FC3084}">
      <x14:pivotCacheDefinition pivotCacheId="17784908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x v="0"/>
    <s v="Emily"/>
    <s v="Brown"/>
    <s v="IT02"/>
    <x v="0"/>
    <n v="50361"/>
    <n v="52"/>
    <x v="0"/>
    <s v="Emily Brown"/>
    <x v="0"/>
    <n v="8"/>
    <x v="0"/>
    <n v="1007.22"/>
  </r>
  <r>
    <x v="1"/>
    <s v="Richard"/>
    <s v="Hernandez"/>
    <s v="MKT04"/>
    <x v="1"/>
    <n v="112673"/>
    <n v="70"/>
    <x v="0"/>
    <s v="Richard Hernandez"/>
    <x v="1"/>
    <n v="4"/>
    <x v="1"/>
    <n v="5633.6500000000005"/>
  </r>
  <r>
    <x v="2"/>
    <s v="Emily"/>
    <s v="Gonzalez"/>
    <s v="IT02"/>
    <x v="2"/>
    <n v="114425"/>
    <n v="54"/>
    <x v="1"/>
    <s v="Emily Gonzalez"/>
    <x v="0"/>
    <n v="10"/>
    <x v="0"/>
    <n v="2288.5"/>
  </r>
  <r>
    <x v="3"/>
    <s v="John"/>
    <s v="Martinez"/>
    <s v="FIN03"/>
    <x v="3"/>
    <n v="103831"/>
    <n v="70"/>
    <x v="0"/>
    <s v="John Martinez"/>
    <x v="2"/>
    <n v="3"/>
    <x v="1"/>
    <n v="5191.55"/>
  </r>
  <r>
    <x v="4"/>
    <s v="Thomas"/>
    <s v="Smith"/>
    <s v="IT02"/>
    <x v="4"/>
    <n v="73785"/>
    <n v="40"/>
    <x v="1"/>
    <s v="Thomas Smith"/>
    <x v="0"/>
    <n v="3"/>
    <x v="2"/>
    <n v="0"/>
  </r>
  <r>
    <x v="5"/>
    <s v="Emily"/>
    <s v="Johnson"/>
    <s v="OPS06"/>
    <x v="5"/>
    <n v="115882"/>
    <n v="49"/>
    <x v="0"/>
    <s v="Emily Johnson"/>
    <x v="3"/>
    <n v="6"/>
    <x v="2"/>
    <n v="0"/>
  </r>
  <r>
    <x v="6"/>
    <s v="John"/>
    <s v="Wilson"/>
    <s v="OPS06"/>
    <x v="6"/>
    <n v="59980"/>
    <n v="70"/>
    <x v="1"/>
    <s v="John Wilson"/>
    <x v="3"/>
    <n v="2"/>
    <x v="1"/>
    <n v="2999"/>
  </r>
  <r>
    <x v="7"/>
    <s v="Jessica"/>
    <s v="Smith"/>
    <s v="OPS06"/>
    <x v="7"/>
    <n v="68728"/>
    <n v="45"/>
    <x v="0"/>
    <s v="Jessica Smith"/>
    <x v="3"/>
    <n v="5"/>
    <x v="2"/>
    <n v="0"/>
  </r>
  <r>
    <x v="8"/>
    <s v="Michael"/>
    <s v="Martinez"/>
    <s v="SAL05"/>
    <x v="8"/>
    <n v="94998"/>
    <n v="58"/>
    <x v="0"/>
    <s v="Michael Martinez"/>
    <x v="4"/>
    <n v="9"/>
    <x v="0"/>
    <n v="1899.96"/>
  </r>
  <r>
    <x v="9"/>
    <s v="Emily"/>
    <s v="Miller"/>
    <s v="SAL05"/>
    <x v="9"/>
    <n v="118635"/>
    <n v="49"/>
    <x v="0"/>
    <s v="Emily Miller"/>
    <x v="4"/>
    <n v="6"/>
    <x v="2"/>
    <n v="0"/>
  </r>
  <r>
    <x v="10"/>
    <s v="Emily"/>
    <s v="Hernandez"/>
    <s v="IT02"/>
    <x v="10"/>
    <n v="76918"/>
    <n v="62"/>
    <x v="0"/>
    <s v="Emily Hernandez"/>
    <x v="0"/>
    <n v="10"/>
    <x v="0"/>
    <n v="1538.3600000000001"/>
  </r>
  <r>
    <x v="11"/>
    <s v="Jane"/>
    <s v="Williams"/>
    <s v="MKT04"/>
    <x v="11"/>
    <n v="61408"/>
    <n v="48"/>
    <x v="0"/>
    <s v="Jane Williams"/>
    <x v="1"/>
    <n v="5"/>
    <x v="2"/>
    <n v="0"/>
  </r>
  <r>
    <x v="12"/>
    <s v="Jane"/>
    <s v="Miller"/>
    <s v="MKT04"/>
    <x v="12"/>
    <n v="99990"/>
    <n v="54"/>
    <x v="0"/>
    <s v="Jane Miller"/>
    <x v="1"/>
    <n v="6"/>
    <x v="0"/>
    <n v="1999.8"/>
  </r>
  <r>
    <x v="13"/>
    <s v="Robert"/>
    <s v="Jones"/>
    <s v="MKT04"/>
    <x v="13"/>
    <n v="80385"/>
    <n v="70"/>
    <x v="0"/>
    <s v="Robert Jones"/>
    <x v="1"/>
    <n v="6"/>
    <x v="1"/>
    <n v="4019.25"/>
  </r>
  <r>
    <x v="14"/>
    <s v="Thomas"/>
    <s v="Rodriguez"/>
    <s v="SAL05"/>
    <x v="14"/>
    <n v="65290"/>
    <n v="77"/>
    <x v="0"/>
    <s v="Thomas Rodriguez"/>
    <x v="4"/>
    <n v="2"/>
    <x v="1"/>
    <n v="3264.5"/>
  </r>
  <r>
    <x v="15"/>
    <s v="Emily"/>
    <s v="Davis"/>
    <s v="IT02"/>
    <x v="15"/>
    <n v="105765"/>
    <n v="42"/>
    <x v="0"/>
    <s v="Emily Davis"/>
    <x v="0"/>
    <n v="10"/>
    <x v="2"/>
    <n v="0"/>
  </r>
  <r>
    <x v="16"/>
    <s v="James"/>
    <s v="Martinez"/>
    <s v="SAL05"/>
    <x v="16"/>
    <n v="102921"/>
    <n v="49"/>
    <x v="0"/>
    <s v="James Martinez"/>
    <x v="4"/>
    <n v="9"/>
    <x v="2"/>
    <n v="0"/>
  </r>
  <r>
    <x v="17"/>
    <s v="Ashley"/>
    <s v="Lopez"/>
    <s v="MKT04"/>
    <x v="17"/>
    <n v="73984"/>
    <n v="93"/>
    <x v="0"/>
    <s v="Ashley Lopez"/>
    <x v="1"/>
    <n v="8"/>
    <x v="3"/>
    <n v="5918.72"/>
  </r>
  <r>
    <x v="18"/>
    <s v="Amanda"/>
    <s v="Gonzalez"/>
    <s v="IT02"/>
    <x v="18"/>
    <n v="83627.5"/>
    <n v="75"/>
    <x v="0"/>
    <s v="Amanda Gonzalez"/>
    <x v="0"/>
    <n v="9"/>
    <x v="1"/>
    <n v="4181.375"/>
  </r>
  <r>
    <x v="19"/>
    <s v="Michael"/>
    <s v="Hernandez"/>
    <s v="FIN03"/>
    <x v="19"/>
    <n v="118527"/>
    <n v="50"/>
    <x v="0"/>
    <s v="Michael Hernandez"/>
    <x v="2"/>
    <n v="8"/>
    <x v="0"/>
    <n v="2370.54"/>
  </r>
  <r>
    <x v="20"/>
    <s v="Richard"/>
    <s v="Hernandez"/>
    <s v="MKT04"/>
    <x v="20"/>
    <n v="107871"/>
    <n v="88"/>
    <x v="0"/>
    <s v="Richard Hernandez"/>
    <x v="1"/>
    <n v="5"/>
    <x v="3"/>
    <n v="8629.68"/>
  </r>
  <r>
    <x v="21"/>
    <s v="Michael"/>
    <s v="Rodriguez"/>
    <s v="IT02"/>
    <x v="21"/>
    <n v="93956"/>
    <n v="50"/>
    <x v="1"/>
    <s v="Michael Rodriguez"/>
    <x v="0"/>
    <n v="3"/>
    <x v="0"/>
    <n v="1879.1200000000001"/>
  </r>
  <r>
    <x v="22"/>
    <s v="Jessica"/>
    <s v="Johnson"/>
    <s v="FIN03"/>
    <x v="22"/>
    <n v="100851"/>
    <n v="64"/>
    <x v="0"/>
    <s v="Jessica Johnson"/>
    <x v="2"/>
    <n v="9"/>
    <x v="0"/>
    <n v="2017.02"/>
  </r>
  <r>
    <x v="23"/>
    <s v="Ashley"/>
    <s v="Williams"/>
    <s v="SAL05"/>
    <x v="23"/>
    <n v="68655"/>
    <n v="32"/>
    <x v="0"/>
    <s v="Ashley Williams"/>
    <x v="4"/>
    <n v="4"/>
    <x v="2"/>
    <n v="0"/>
  </r>
  <r>
    <x v="24"/>
    <m/>
    <s v="Williams"/>
    <s v="SAL05"/>
    <x v="24"/>
    <n v="81205"/>
    <n v="59"/>
    <x v="0"/>
    <s v=" Williams"/>
    <x v="4"/>
    <n v="2"/>
    <x v="0"/>
    <n v="1624.1000000000001"/>
  </r>
  <r>
    <x v="25"/>
    <s v="John"/>
    <s v="Wilson"/>
    <s v="SAL05"/>
    <x v="25"/>
    <n v="77610"/>
    <n v="88"/>
    <x v="0"/>
    <s v="John Wilson"/>
    <x v="4"/>
    <n v="6"/>
    <x v="3"/>
    <n v="6208.8"/>
  </r>
  <r>
    <x v="26"/>
    <s v="Thomas"/>
    <s v="Rodriguez"/>
    <s v="IT02"/>
    <x v="26"/>
    <n v="50873"/>
    <n v="90"/>
    <x v="0"/>
    <s v="Thomas Rodriguez"/>
    <x v="0"/>
    <n v="3"/>
    <x v="3"/>
    <n v="4069.84"/>
  </r>
  <r>
    <x v="27"/>
    <s v="Michael"/>
    <s v="Wilson"/>
    <s v="FIN03"/>
    <x v="27"/>
    <n v="85312"/>
    <n v="66"/>
    <x v="0"/>
    <s v="Michael Wilson"/>
    <x v="2"/>
    <n v="8"/>
    <x v="0"/>
    <n v="1706.24"/>
  </r>
  <r>
    <x v="28"/>
    <s v="John"/>
    <s v="Rodriguez"/>
    <s v="SAL05"/>
    <x v="28"/>
    <n v="83627.5"/>
    <n v="68"/>
    <x v="0"/>
    <s v="John Rodriguez"/>
    <x v="4"/>
    <n v="10"/>
    <x v="0"/>
    <n v="1672.55"/>
  </r>
  <r>
    <x v="29"/>
    <s v="Thomas"/>
    <s v="Hernandez"/>
    <s v="OPS06"/>
    <x v="29"/>
    <n v="97055"/>
    <n v="80"/>
    <x v="0"/>
    <s v="Thomas Hernandez"/>
    <x v="3"/>
    <n v="10"/>
    <x v="1"/>
    <n v="4852.75"/>
  </r>
  <r>
    <x v="30"/>
    <s v="Michael"/>
    <s v="Johnson"/>
    <s v="IT02"/>
    <x v="30"/>
    <n v="66069"/>
    <n v="72"/>
    <x v="0"/>
    <s v="Michael Johnson"/>
    <x v="0"/>
    <n v="2"/>
    <x v="1"/>
    <n v="3303.4500000000003"/>
  </r>
  <r>
    <x v="31"/>
    <s v="Sarah"/>
    <s v="Brown"/>
    <s v="IT02"/>
    <x v="31"/>
    <n v="90157"/>
    <n v="58"/>
    <x v="0"/>
    <s v="Sarah Brown"/>
    <x v="0"/>
    <n v="7"/>
    <x v="0"/>
    <n v="1803.14"/>
  </r>
  <r>
    <x v="32"/>
    <s v="Jane"/>
    <s v="Martinez"/>
    <s v="HR01"/>
    <x v="32"/>
    <n v="59899"/>
    <n v="78"/>
    <x v="0"/>
    <s v="Jane Martinez"/>
    <x v="5"/>
    <n v="4"/>
    <x v="1"/>
    <n v="2994.9500000000003"/>
  </r>
  <r>
    <x v="33"/>
    <s v="Emily"/>
    <s v="Jones"/>
    <s v="FIN03"/>
    <x v="33"/>
    <n v="113389"/>
    <n v="30"/>
    <x v="0"/>
    <s v="Emily Jones"/>
    <x v="2"/>
    <n v="9"/>
    <x v="2"/>
    <n v="0"/>
  </r>
  <r>
    <x v="34"/>
    <m/>
    <s v="Brown"/>
    <s v="IT02"/>
    <x v="34"/>
    <n v="102691"/>
    <n v="52"/>
    <x v="0"/>
    <s v=" Brown"/>
    <x v="0"/>
    <n v="10"/>
    <x v="0"/>
    <n v="2053.8200000000002"/>
  </r>
  <r>
    <x v="35"/>
    <s v="John"/>
    <s v="Wilson"/>
    <s v="OPS06"/>
    <x v="35"/>
    <n v="111845"/>
    <n v="98"/>
    <x v="0"/>
    <s v="John Wilson"/>
    <x v="3"/>
    <n v="3"/>
    <x v="4"/>
    <n v="13421.4"/>
  </r>
  <r>
    <x v="36"/>
    <s v="Melissa"/>
    <s v="Brown"/>
    <s v="SAL05"/>
    <x v="36"/>
    <n v="69219"/>
    <n v="93"/>
    <x v="0"/>
    <s v="Melissa Brown"/>
    <x v="4"/>
    <n v="4"/>
    <x v="3"/>
    <n v="5537.52"/>
  </r>
  <r>
    <x v="37"/>
    <s v="Michael"/>
    <s v="Smith"/>
    <s v="FIN03"/>
    <x v="37"/>
    <n v="83627.5"/>
    <n v="80"/>
    <x v="1"/>
    <s v="Michael Smith"/>
    <x v="2"/>
    <n v="6"/>
    <x v="1"/>
    <n v="4181.375"/>
  </r>
  <r>
    <x v="38"/>
    <s v="Sarah"/>
    <s v="Miller"/>
    <s v="OPS06"/>
    <x v="38"/>
    <n v="57514"/>
    <n v="70"/>
    <x v="0"/>
    <s v="Sarah Miller"/>
    <x v="3"/>
    <n v="8"/>
    <x v="1"/>
    <n v="2875.7000000000003"/>
  </r>
  <r>
    <x v="39"/>
    <s v="Emily"/>
    <s v="Wilson"/>
    <s v="SAL05"/>
    <x v="39"/>
    <n v="86245"/>
    <n v="71"/>
    <x v="1"/>
    <s v="Emily Wilson"/>
    <x v="4"/>
    <n v="8"/>
    <x v="1"/>
    <n v="4312.25"/>
  </r>
  <r>
    <x v="40"/>
    <s v="David"/>
    <s v="Hernandez"/>
    <s v="SAL05"/>
    <x v="40"/>
    <n v="52407"/>
    <n v="55"/>
    <x v="0"/>
    <s v="David Hernandez"/>
    <x v="4"/>
    <n v="6"/>
    <x v="0"/>
    <n v="1048.1400000000001"/>
  </r>
  <r>
    <x v="41"/>
    <s v="James"/>
    <s v="Smith"/>
    <s v="OPS06"/>
    <x v="41"/>
    <n v="66606"/>
    <n v="93"/>
    <x v="2"/>
    <s v="James Smith"/>
    <x v="3"/>
    <n v="7"/>
    <x v="3"/>
    <n v="5328.4800000000005"/>
  </r>
  <r>
    <x v="42"/>
    <s v="Sarah"/>
    <s v="Williams"/>
    <s v="IT02"/>
    <x v="42"/>
    <n v="81896"/>
    <n v="79"/>
    <x v="2"/>
    <s v="Sarah Williams"/>
    <x v="0"/>
    <n v="6"/>
    <x v="1"/>
    <n v="4094.8"/>
  </r>
  <r>
    <x v="43"/>
    <s v="Amanda"/>
    <s v="Lopez"/>
    <s v="SAL05"/>
    <x v="22"/>
    <n v="78402"/>
    <n v="54"/>
    <x v="0"/>
    <s v="Amanda Lopez"/>
    <x v="4"/>
    <n v="9"/>
    <x v="0"/>
    <n v="1568.04"/>
  </r>
  <r>
    <x v="44"/>
    <s v="Thomas"/>
    <s v="Lopez"/>
    <s v="OPS06"/>
    <x v="43"/>
    <n v="105498"/>
    <n v="76"/>
    <x v="0"/>
    <s v="Thomas Lopez"/>
    <x v="3"/>
    <n v="9"/>
    <x v="1"/>
    <n v="5274.9000000000005"/>
  </r>
  <r>
    <x v="45"/>
    <s v="Melissa"/>
    <s v="Johnson"/>
    <s v="MKT04"/>
    <x v="44"/>
    <n v="91749"/>
    <n v="72"/>
    <x v="1"/>
    <s v="Melissa Johnson"/>
    <x v="1"/>
    <n v="6"/>
    <x v="1"/>
    <n v="4587.45"/>
  </r>
  <r>
    <x v="46"/>
    <s v="Amanda"/>
    <s v="Johnson"/>
    <s v="OPS06"/>
    <x v="45"/>
    <n v="99935"/>
    <n v="84"/>
    <x v="2"/>
    <s v="Amanda Johnson"/>
    <x v="3"/>
    <n v="4"/>
    <x v="1"/>
    <n v="4996.75"/>
  </r>
  <r>
    <x v="47"/>
    <s v="John"/>
    <s v="Davis"/>
    <s v="IT02"/>
    <x v="46"/>
    <n v="83531"/>
    <n v="30"/>
    <x v="1"/>
    <s v="John Davis"/>
    <x v="0"/>
    <n v="9"/>
    <x v="2"/>
    <n v="0"/>
  </r>
  <r>
    <x v="48"/>
    <s v="James"/>
    <s v="Johnson"/>
    <s v="MKT04"/>
    <x v="47"/>
    <n v="75023"/>
    <n v="70"/>
    <x v="0"/>
    <s v="James Johnson"/>
    <x v="1"/>
    <n v="6"/>
    <x v="1"/>
    <n v="3751.15"/>
  </r>
  <r>
    <x v="49"/>
    <s v="Jane"/>
    <s v="Davis"/>
    <s v="HR01"/>
    <x v="48"/>
    <n v="93290"/>
    <n v="53"/>
    <x v="0"/>
    <s v="Jane Davis"/>
    <x v="5"/>
    <n v="4"/>
    <x v="0"/>
    <n v="1865.8"/>
  </r>
  <r>
    <x v="50"/>
    <s v="Richard"/>
    <s v="Davis"/>
    <s v="OPS06"/>
    <x v="49"/>
    <n v="115527"/>
    <n v="63"/>
    <x v="2"/>
    <s v="Richard Davis"/>
    <x v="3"/>
    <n v="9"/>
    <x v="0"/>
    <n v="2310.54"/>
  </r>
  <r>
    <x v="51"/>
    <s v="Thomas"/>
    <s v="Rodriguez"/>
    <s v="FIN03"/>
    <x v="50"/>
    <n v="55920"/>
    <n v="84"/>
    <x v="0"/>
    <s v="Thomas Rodriguez"/>
    <x v="2"/>
    <n v="6"/>
    <x v="1"/>
    <n v="2796"/>
  </r>
  <r>
    <x v="52"/>
    <s v="Emily"/>
    <s v="Johnson"/>
    <s v="SAL05"/>
    <x v="51"/>
    <n v="80189"/>
    <n v="30"/>
    <x v="0"/>
    <s v="Emily Johnson"/>
    <x v="4"/>
    <n v="7"/>
    <x v="2"/>
    <n v="0"/>
  </r>
  <r>
    <x v="53"/>
    <s v="Emily"/>
    <s v="Garcia"/>
    <s v="HR01"/>
    <x v="52"/>
    <n v="118947"/>
    <n v="96"/>
    <x v="0"/>
    <s v="Emily Garcia"/>
    <x v="5"/>
    <n v="5"/>
    <x v="4"/>
    <n v="14273.64"/>
  </r>
  <r>
    <x v="54"/>
    <s v="Jane"/>
    <s v="Anderson"/>
    <s v="IT02"/>
    <x v="53"/>
    <n v="83627.5"/>
    <n v="54"/>
    <x v="0"/>
    <s v="Jane Anderson"/>
    <x v="0"/>
    <n v="3"/>
    <x v="0"/>
    <n v="1672.55"/>
  </r>
  <r>
    <x v="55"/>
    <s v="Thomas"/>
    <s v="Garcia"/>
    <s v="OPS06"/>
    <x v="54"/>
    <n v="83627.5"/>
    <n v="75"/>
    <x v="0"/>
    <s v="Thomas Garcia"/>
    <x v="3"/>
    <n v="5"/>
    <x v="1"/>
    <n v="4181.375"/>
  </r>
  <r>
    <x v="56"/>
    <s v="David"/>
    <s v="Martinez"/>
    <s v="HR01"/>
    <x v="55"/>
    <n v="91655"/>
    <n v="95"/>
    <x v="0"/>
    <s v="David Martinez"/>
    <x v="5"/>
    <n v="8"/>
    <x v="4"/>
    <n v="10998.6"/>
  </r>
  <r>
    <x v="57"/>
    <s v="Emily"/>
    <s v="Brown"/>
    <s v="IT02"/>
    <x v="56"/>
    <n v="49435"/>
    <n v="70"/>
    <x v="1"/>
    <s v="Emily Brown"/>
    <x v="0"/>
    <n v="2"/>
    <x v="1"/>
    <n v="2471.75"/>
  </r>
  <r>
    <x v="58"/>
    <s v="Emily"/>
    <s v="Wilson"/>
    <s v="SAL05"/>
    <x v="57"/>
    <n v="110381"/>
    <n v="93"/>
    <x v="0"/>
    <s v="Emily Wilson"/>
    <x v="4"/>
    <n v="2"/>
    <x v="3"/>
    <n v="8830.48"/>
  </r>
  <r>
    <x v="59"/>
    <s v="Michael"/>
    <s v="Anderson"/>
    <s v="HR01"/>
    <x v="58"/>
    <n v="114748"/>
    <n v="33"/>
    <x v="0"/>
    <s v="Michael Anderson"/>
    <x v="5"/>
    <n v="5"/>
    <x v="2"/>
    <n v="0"/>
  </r>
  <r>
    <x v="60"/>
    <s v="Robert"/>
    <s v="Johnson"/>
    <s v="OPS06"/>
    <x v="59"/>
    <n v="63302"/>
    <n v="91"/>
    <x v="0"/>
    <s v="Robert Johnson"/>
    <x v="3"/>
    <n v="9"/>
    <x v="3"/>
    <n v="5064.16"/>
  </r>
  <r>
    <x v="61"/>
    <s v="Robert"/>
    <s v="Miller"/>
    <s v="IT02"/>
    <x v="60"/>
    <n v="75519"/>
    <n v="64"/>
    <x v="0"/>
    <s v="Robert Miller"/>
    <x v="0"/>
    <n v="11"/>
    <x v="0"/>
    <n v="1510.38"/>
  </r>
  <r>
    <x v="62"/>
    <s v="Jane"/>
    <s v="Davis"/>
    <s v="FIN03"/>
    <x v="61"/>
    <n v="103891"/>
    <n v="80"/>
    <x v="0"/>
    <s v="Jane Davis"/>
    <x v="2"/>
    <n v="9"/>
    <x v="1"/>
    <n v="5194.55"/>
  </r>
  <r>
    <x v="63"/>
    <s v="Thomas"/>
    <s v="Davis"/>
    <s v="OPS06"/>
    <x v="62"/>
    <n v="83627.5"/>
    <n v="46"/>
    <x v="1"/>
    <s v="Thomas Davis"/>
    <x v="3"/>
    <n v="3"/>
    <x v="2"/>
    <n v="0"/>
  </r>
  <r>
    <x v="64"/>
    <s v="Thomas"/>
    <s v="Jones"/>
    <s v="MKT04"/>
    <x v="63"/>
    <n v="50936"/>
    <n v="99"/>
    <x v="0"/>
    <s v="Thomas Jones"/>
    <x v="1"/>
    <n v="9"/>
    <x v="4"/>
    <n v="6112.32"/>
  </r>
  <r>
    <x v="65"/>
    <s v="Michael"/>
    <s v="Miller"/>
    <s v="SAL05"/>
    <x v="64"/>
    <n v="111240"/>
    <n v="70"/>
    <x v="0"/>
    <s v="Michael Miller"/>
    <x v="4"/>
    <n v="9"/>
    <x v="1"/>
    <n v="5562"/>
  </r>
  <r>
    <x v="66"/>
    <s v="Richard"/>
    <s v="Gonzalez"/>
    <s v="HR01"/>
    <x v="65"/>
    <n v="51567"/>
    <n v="87"/>
    <x v="2"/>
    <s v="Richard Gonzalez"/>
    <x v="5"/>
    <n v="7"/>
    <x v="3"/>
    <n v="4125.3599999999997"/>
  </r>
  <r>
    <x v="67"/>
    <s v="Melissa"/>
    <s v="Williams"/>
    <s v="HR01"/>
    <x v="66"/>
    <n v="83627.5"/>
    <n v="36"/>
    <x v="0"/>
    <s v="Melissa Williams"/>
    <x v="5"/>
    <n v="4"/>
    <x v="2"/>
    <n v="0"/>
  </r>
  <r>
    <x v="68"/>
    <s v="Robert"/>
    <s v="Miller"/>
    <s v="HR01"/>
    <x v="67"/>
    <n v="55270"/>
    <n v="87"/>
    <x v="0"/>
    <s v="Robert Miller"/>
    <x v="5"/>
    <n v="8"/>
    <x v="3"/>
    <n v="4421.6000000000004"/>
  </r>
  <r>
    <x v="69"/>
    <s v="William"/>
    <s v="Garcia"/>
    <s v="SAL05"/>
    <x v="68"/>
    <n v="65235"/>
    <n v="97"/>
    <x v="0"/>
    <s v="William Garcia"/>
    <x v="4"/>
    <n v="11"/>
    <x v="4"/>
    <n v="7828.2"/>
  </r>
  <r>
    <x v="70"/>
    <s v="John"/>
    <s v="Gonzalez"/>
    <s v="SAL05"/>
    <x v="69"/>
    <n v="83627.5"/>
    <n v="72"/>
    <x v="1"/>
    <s v="John Gonzalez"/>
    <x v="4"/>
    <n v="8"/>
    <x v="1"/>
    <n v="4181.375"/>
  </r>
  <r>
    <x v="71"/>
    <s v="James"/>
    <s v="Gonzalez"/>
    <s v="SAL05"/>
    <x v="70"/>
    <n v="83627.5"/>
    <n v="65"/>
    <x v="1"/>
    <s v="James Gonzalez"/>
    <x v="4"/>
    <n v="3"/>
    <x v="0"/>
    <n v="1672.55"/>
  </r>
  <r>
    <x v="72"/>
    <s v="Jane"/>
    <s v="Gonzalez"/>
    <s v="SAL05"/>
    <x v="71"/>
    <n v="83627.5"/>
    <n v="67"/>
    <x v="0"/>
    <s v="Jane Gonzalez"/>
    <x v="4"/>
    <n v="10"/>
    <x v="0"/>
    <n v="1672.55"/>
  </r>
  <r>
    <x v="73"/>
    <s v="David"/>
    <s v="Wilson"/>
    <s v="OPS06"/>
    <x v="72"/>
    <n v="48823"/>
    <n v="34"/>
    <x v="0"/>
    <s v="David Wilson"/>
    <x v="3"/>
    <n v="9"/>
    <x v="2"/>
    <n v="0"/>
  </r>
  <r>
    <x v="74"/>
    <s v="Jane"/>
    <s v="Gonzalez"/>
    <s v="FIN03"/>
    <x v="73"/>
    <n v="45196"/>
    <n v="78"/>
    <x v="1"/>
    <s v="Jane Gonzalez"/>
    <x v="2"/>
    <n v="7"/>
    <x v="1"/>
    <n v="2259.8000000000002"/>
  </r>
  <r>
    <x v="75"/>
    <s v="Jane"/>
    <s v="Rodriguez"/>
    <s v="IT02"/>
    <x v="74"/>
    <n v="86246"/>
    <n v="61"/>
    <x v="0"/>
    <s v="Jane Rodriguez"/>
    <x v="0"/>
    <n v="9"/>
    <x v="0"/>
    <n v="1724.92"/>
  </r>
  <r>
    <x v="76"/>
    <s v="Emily"/>
    <s v="Miller"/>
    <s v="SAL05"/>
    <x v="75"/>
    <n v="70359"/>
    <n v="74"/>
    <x v="1"/>
    <s v="Emily Miller"/>
    <x v="4"/>
    <n v="4"/>
    <x v="1"/>
    <n v="3517.9500000000003"/>
  </r>
  <r>
    <x v="77"/>
    <s v="Sarah"/>
    <s v="Miller"/>
    <s v="MKT04"/>
    <x v="76"/>
    <n v="83627.5"/>
    <n v="94"/>
    <x v="0"/>
    <s v="Sarah Miller"/>
    <x v="1"/>
    <n v="7"/>
    <x v="3"/>
    <n v="6690.2"/>
  </r>
  <r>
    <x v="78"/>
    <s v="Jessica"/>
    <s v="Garcia"/>
    <s v="OPS06"/>
    <x v="77"/>
    <n v="86480"/>
    <n v="70"/>
    <x v="0"/>
    <s v="Jessica Garcia"/>
    <x v="3"/>
    <n v="10"/>
    <x v="1"/>
    <n v="4324"/>
  </r>
  <r>
    <x v="79"/>
    <s v="Richard"/>
    <s v="Smith"/>
    <s v="HR01"/>
    <x v="78"/>
    <n v="47694"/>
    <n v="75"/>
    <x v="0"/>
    <s v="Richard Smith"/>
    <x v="5"/>
    <n v="7"/>
    <x v="1"/>
    <n v="2384.7000000000003"/>
  </r>
  <r>
    <x v="80"/>
    <s v="Melissa"/>
    <s v="Wilson"/>
    <s v="IT02"/>
    <x v="79"/>
    <n v="83724"/>
    <n v="81"/>
    <x v="2"/>
    <s v="Melissa Wilson"/>
    <x v="0"/>
    <n v="2"/>
    <x v="1"/>
    <n v="4186.2"/>
  </r>
  <r>
    <x v="81"/>
    <s v="Thomas"/>
    <s v="Williams"/>
    <s v="FIN03"/>
    <x v="80"/>
    <n v="98299"/>
    <n v="61"/>
    <x v="0"/>
    <s v="Thomas Williams"/>
    <x v="2"/>
    <n v="3"/>
    <x v="0"/>
    <n v="1965.98"/>
  </r>
  <r>
    <x v="82"/>
    <s v="David"/>
    <s v="Williams"/>
    <s v="FIN03"/>
    <x v="81"/>
    <n v="83627.5"/>
    <n v="68"/>
    <x v="0"/>
    <s v="David Williams"/>
    <x v="2"/>
    <n v="5"/>
    <x v="0"/>
    <n v="1672.55"/>
  </r>
  <r>
    <x v="83"/>
    <s v="John"/>
    <s v="Johnson"/>
    <s v="IT02"/>
    <x v="82"/>
    <n v="52287"/>
    <n v="70"/>
    <x v="0"/>
    <s v="John Johnson"/>
    <x v="0"/>
    <n v="2"/>
    <x v="1"/>
    <n v="2614.3500000000004"/>
  </r>
  <r>
    <x v="84"/>
    <s v="Richard"/>
    <s v="Gonzalez"/>
    <s v="IT02"/>
    <x v="83"/>
    <n v="82633"/>
    <n v="98"/>
    <x v="0"/>
    <s v="Richard Gonzalez"/>
    <x v="0"/>
    <n v="5"/>
    <x v="4"/>
    <n v="9915.9599999999991"/>
  </r>
  <r>
    <x v="85"/>
    <s v="Melissa"/>
    <s v="Anderson"/>
    <s v="OPS06"/>
    <x v="84"/>
    <n v="46508"/>
    <n v="34"/>
    <x v="0"/>
    <s v="Melissa Anderson"/>
    <x v="3"/>
    <n v="4"/>
    <x v="2"/>
    <n v="0"/>
  </r>
  <r>
    <x v="86"/>
    <s v="Emily"/>
    <s v="Gonzalez"/>
    <s v="HR01"/>
    <x v="85"/>
    <n v="86232"/>
    <n v="93"/>
    <x v="0"/>
    <s v="Emily Gonzalez"/>
    <x v="5"/>
    <n v="6"/>
    <x v="3"/>
    <n v="6898.56"/>
  </r>
  <r>
    <x v="87"/>
    <s v="Jane"/>
    <s v="Davis"/>
    <s v="IT02"/>
    <x v="86"/>
    <n v="77545"/>
    <n v="48"/>
    <x v="0"/>
    <s v="Jane Davis"/>
    <x v="0"/>
    <n v="9"/>
    <x v="2"/>
    <n v="0"/>
  </r>
  <r>
    <x v="88"/>
    <s v="William"/>
    <s v="Gonzalez"/>
    <s v="OPS06"/>
    <x v="87"/>
    <n v="68683"/>
    <n v="90"/>
    <x v="0"/>
    <s v="William Gonzalez"/>
    <x v="3"/>
    <n v="7"/>
    <x v="3"/>
    <n v="5494.64"/>
  </r>
  <r>
    <x v="89"/>
    <s v="Thomas"/>
    <s v="Jones"/>
    <s v="FIN03"/>
    <x v="88"/>
    <n v="83932"/>
    <n v="57"/>
    <x v="1"/>
    <s v="Thomas Jones"/>
    <x v="2"/>
    <n v="7"/>
    <x v="0"/>
    <n v="1678.64"/>
  </r>
  <r>
    <x v="90"/>
    <s v="Jessica"/>
    <s v="Anderson"/>
    <s v="HR01"/>
    <x v="89"/>
    <n v="56073"/>
    <n v="79"/>
    <x v="0"/>
    <s v="Jessica Anderson"/>
    <x v="5"/>
    <n v="10"/>
    <x v="1"/>
    <n v="2803.65"/>
  </r>
  <r>
    <x v="91"/>
    <s v="Melissa"/>
    <s v="Johnson"/>
    <s v="IT02"/>
    <x v="90"/>
    <n v="88056"/>
    <n v="66"/>
    <x v="0"/>
    <s v="Melissa Johnson"/>
    <x v="0"/>
    <n v="8"/>
    <x v="0"/>
    <n v="1761.1200000000001"/>
  </r>
  <r>
    <x v="92"/>
    <s v="Thomas"/>
    <s v="Miller"/>
    <s v="OPS06"/>
    <x v="91"/>
    <n v="67414"/>
    <n v="84"/>
    <x v="1"/>
    <s v="Thomas Miller"/>
    <x v="3"/>
    <n v="8"/>
    <x v="1"/>
    <n v="3370.7000000000003"/>
  </r>
  <r>
    <x v="93"/>
    <s v="William"/>
    <s v="Gonzalez"/>
    <s v="SAL05"/>
    <x v="92"/>
    <n v="115288"/>
    <n v="61"/>
    <x v="0"/>
    <s v="William Gonzalez"/>
    <x v="4"/>
    <n v="11"/>
    <x v="0"/>
    <n v="2305.7600000000002"/>
  </r>
  <r>
    <x v="94"/>
    <m/>
    <s v="Smith"/>
    <s v="SAL05"/>
    <x v="93"/>
    <n v="80140"/>
    <n v="58"/>
    <x v="0"/>
    <s v=" Smith"/>
    <x v="4"/>
    <n v="7"/>
    <x v="0"/>
    <n v="1602.8"/>
  </r>
  <r>
    <x v="95"/>
    <s v="John"/>
    <s v="Johnson"/>
    <s v="IT02"/>
    <x v="94"/>
    <n v="73087"/>
    <n v="69"/>
    <x v="0"/>
    <s v="John Johnson"/>
    <x v="0"/>
    <n v="4"/>
    <x v="0"/>
    <n v="1461.74"/>
  </r>
  <r>
    <x v="96"/>
    <s v="Jane"/>
    <s v="Johnson"/>
    <s v="SAL05"/>
    <x v="95"/>
    <n v="95292"/>
    <n v="34"/>
    <x v="0"/>
    <s v="Jane Johnson"/>
    <x v="4"/>
    <n v="5"/>
    <x v="2"/>
    <n v="0"/>
  </r>
  <r>
    <x v="97"/>
    <s v="John"/>
    <s v="Jones"/>
    <s v="IT02"/>
    <x v="96"/>
    <n v="83627.5"/>
    <n v="33"/>
    <x v="0"/>
    <s v="John Jones"/>
    <x v="0"/>
    <n v="7"/>
    <x v="2"/>
    <n v="0"/>
  </r>
  <r>
    <x v="98"/>
    <s v="Jane"/>
    <s v="Lopez"/>
    <s v="MKT04"/>
    <x v="97"/>
    <n v="101750"/>
    <n v="84"/>
    <x v="1"/>
    <s v="Jane Lopez"/>
    <x v="1"/>
    <n v="11"/>
    <x v="1"/>
    <n v="5087.5"/>
  </r>
  <r>
    <x v="99"/>
    <s v="Melissa"/>
    <s v="Gonzalez"/>
    <s v="MKT04"/>
    <x v="74"/>
    <n v="82992"/>
    <n v="79"/>
    <x v="0"/>
    <s v="Melissa Gonzalez"/>
    <x v="1"/>
    <n v="9"/>
    <x v="1"/>
    <n v="4149.6000000000004"/>
  </r>
  <r>
    <x v="100"/>
    <s v="William"/>
    <s v="Davis"/>
    <s v="IT02"/>
    <x v="98"/>
    <n v="49942"/>
    <n v="51"/>
    <x v="0"/>
    <s v="William Davis"/>
    <x v="0"/>
    <n v="3"/>
    <x v="0"/>
    <n v="998.84"/>
  </r>
  <r>
    <x v="101"/>
    <s v="John"/>
    <s v="Smith"/>
    <s v="OPS06"/>
    <x v="99"/>
    <n v="89060"/>
    <n v="58"/>
    <x v="0"/>
    <s v="John Smith"/>
    <x v="3"/>
    <n v="8"/>
    <x v="0"/>
    <n v="1781.2"/>
  </r>
  <r>
    <x v="102"/>
    <s v="James"/>
    <s v="Gonzalez"/>
    <s v="IT02"/>
    <x v="100"/>
    <n v="53786"/>
    <n v="98"/>
    <x v="0"/>
    <s v="James Gonzalez"/>
    <x v="0"/>
    <n v="6"/>
    <x v="4"/>
    <n v="6454.32"/>
  </r>
  <r>
    <x v="103"/>
    <s v="Emily"/>
    <s v="Johnson"/>
    <s v="OPS06"/>
    <x v="101"/>
    <n v="81167"/>
    <n v="70"/>
    <x v="0"/>
    <s v="Emily Johnson"/>
    <x v="3"/>
    <n v="10"/>
    <x v="1"/>
    <n v="4058.3500000000004"/>
  </r>
  <r>
    <x v="104"/>
    <s v="William"/>
    <s v="Williams"/>
    <s v="MKT04"/>
    <x v="102"/>
    <n v="66688"/>
    <n v="40"/>
    <x v="1"/>
    <s v="William Williams"/>
    <x v="1"/>
    <n v="5"/>
    <x v="2"/>
    <n v="0"/>
  </r>
  <r>
    <x v="105"/>
    <s v="James"/>
    <s v="Jones"/>
    <s v="IT02"/>
    <x v="103"/>
    <n v="91672"/>
    <n v="88"/>
    <x v="0"/>
    <s v="James Jones"/>
    <x v="0"/>
    <n v="4"/>
    <x v="3"/>
    <n v="7333.76"/>
  </r>
  <r>
    <x v="106"/>
    <s v="Jessica"/>
    <s v="Gonzalez"/>
    <s v="HR01"/>
    <x v="104"/>
    <n v="77737"/>
    <n v="77"/>
    <x v="0"/>
    <s v="Jessica Gonzalez"/>
    <x v="5"/>
    <n v="9"/>
    <x v="1"/>
    <n v="3886.8500000000004"/>
  </r>
  <r>
    <x v="107"/>
    <s v="Sarah"/>
    <s v="Miller"/>
    <s v="SAL05"/>
    <x v="105"/>
    <n v="95686"/>
    <n v="91"/>
    <x v="0"/>
    <s v="Sarah Miller"/>
    <x v="4"/>
    <n v="7"/>
    <x v="3"/>
    <n v="7654.88"/>
  </r>
  <r>
    <x v="108"/>
    <s v="Jessica"/>
    <s v="Smith"/>
    <s v="SAL05"/>
    <x v="106"/>
    <n v="114681"/>
    <n v="36"/>
    <x v="0"/>
    <s v="Jessica Smith"/>
    <x v="4"/>
    <n v="9"/>
    <x v="2"/>
    <n v="0"/>
  </r>
  <r>
    <x v="109"/>
    <s v="Thomas"/>
    <s v="Jones"/>
    <s v="OPS06"/>
    <x v="107"/>
    <n v="109121"/>
    <n v="72"/>
    <x v="0"/>
    <s v="Thomas Jones"/>
    <x v="3"/>
    <n v="4"/>
    <x v="1"/>
    <n v="5456.05"/>
  </r>
  <r>
    <x v="110"/>
    <s v="Amanda"/>
    <s v="Brown"/>
    <s v="MKT04"/>
    <x v="108"/>
    <n v="112791"/>
    <n v="87"/>
    <x v="0"/>
    <s v="Amanda Brown"/>
    <x v="1"/>
    <n v="6"/>
    <x v="3"/>
    <n v="9023.2800000000007"/>
  </r>
  <r>
    <x v="111"/>
    <s v="Robert"/>
    <s v="Martinez"/>
    <s v="IT02"/>
    <x v="109"/>
    <n v="118008"/>
    <n v="71"/>
    <x v="0"/>
    <s v="Robert Martinez"/>
    <x v="0"/>
    <n v="4"/>
    <x v="1"/>
    <n v="5900.4000000000005"/>
  </r>
  <r>
    <x v="112"/>
    <s v="Thomas"/>
    <s v="Miller"/>
    <s v="IT02"/>
    <x v="110"/>
    <n v="74370"/>
    <n v="82"/>
    <x v="0"/>
    <s v="Thomas Miller"/>
    <x v="0"/>
    <n v="9"/>
    <x v="1"/>
    <n v="3718.5"/>
  </r>
  <r>
    <x v="113"/>
    <s v="David"/>
    <s v="Rodriguez"/>
    <s v="IT02"/>
    <x v="111"/>
    <n v="77819"/>
    <n v="79"/>
    <x v="0"/>
    <s v="David Rodriguez"/>
    <x v="0"/>
    <n v="4"/>
    <x v="1"/>
    <n v="3890.9500000000003"/>
  </r>
  <r>
    <x v="114"/>
    <s v="Jane"/>
    <s v="Miller"/>
    <s v="MKT04"/>
    <x v="112"/>
    <n v="48748"/>
    <n v="83"/>
    <x v="0"/>
    <s v="Jane Miller"/>
    <x v="1"/>
    <n v="9"/>
    <x v="1"/>
    <n v="2437.4"/>
  </r>
  <r>
    <x v="115"/>
    <s v="James"/>
    <s v="Rodriguez"/>
    <s v="OPS06"/>
    <x v="113"/>
    <n v="101997"/>
    <n v="38"/>
    <x v="2"/>
    <s v="James Rodriguez"/>
    <x v="3"/>
    <n v="6"/>
    <x v="2"/>
    <n v="0"/>
  </r>
  <r>
    <x v="116"/>
    <s v="Sarah"/>
    <s v="Rodriguez"/>
    <s v="HR01"/>
    <x v="114"/>
    <n v="115260"/>
    <n v="77"/>
    <x v="0"/>
    <s v="Sarah Rodriguez"/>
    <x v="5"/>
    <n v="3"/>
    <x v="1"/>
    <n v="5763"/>
  </r>
  <r>
    <x v="117"/>
    <s v="Sarah"/>
    <s v="Wilson"/>
    <s v="SAL05"/>
    <x v="115"/>
    <n v="83627.5"/>
    <n v="49"/>
    <x v="0"/>
    <s v="Sarah Wilson"/>
    <x v="4"/>
    <n v="4"/>
    <x v="2"/>
    <n v="0"/>
  </r>
  <r>
    <x v="118"/>
    <s v="Melissa"/>
    <s v="Brown"/>
    <s v="IT02"/>
    <x v="116"/>
    <n v="83627.5"/>
    <n v="69"/>
    <x v="1"/>
    <s v="Melissa Brown"/>
    <x v="0"/>
    <n v="4"/>
    <x v="0"/>
    <n v="1672.55"/>
  </r>
  <r>
    <x v="119"/>
    <s v="Robert"/>
    <s v="Williams"/>
    <s v="SAL05"/>
    <x v="117"/>
    <n v="83627.5"/>
    <n v="76"/>
    <x v="0"/>
    <s v="Robert Williams"/>
    <x v="4"/>
    <n v="8"/>
    <x v="1"/>
    <n v="4181.375"/>
  </r>
  <r>
    <x v="120"/>
    <s v="Melissa"/>
    <s v="Rodriguez"/>
    <s v="OPS06"/>
    <x v="118"/>
    <n v="60623"/>
    <n v="78"/>
    <x v="0"/>
    <s v="Melissa Rodriguez"/>
    <x v="3"/>
    <n v="3"/>
    <x v="1"/>
    <n v="3031.15"/>
  </r>
  <r>
    <x v="121"/>
    <s v="James"/>
    <s v="Johnson"/>
    <s v="HR01"/>
    <x v="119"/>
    <n v="68092"/>
    <n v="93"/>
    <x v="0"/>
    <s v="James Johnson"/>
    <x v="5"/>
    <n v="5"/>
    <x v="3"/>
    <n v="5447.36"/>
  </r>
  <r>
    <x v="122"/>
    <s v="Michael"/>
    <s v="Wilson"/>
    <s v="MKT04"/>
    <x v="120"/>
    <n v="88155"/>
    <n v="68"/>
    <x v="0"/>
    <s v="Michael Wilson"/>
    <x v="1"/>
    <n v="4"/>
    <x v="0"/>
    <n v="1763.1000000000001"/>
  </r>
  <r>
    <x v="123"/>
    <s v="William"/>
    <s v="Jones"/>
    <s v="MKT04"/>
    <x v="121"/>
    <n v="107903"/>
    <n v="42"/>
    <x v="0"/>
    <s v="William Jones"/>
    <x v="1"/>
    <n v="8"/>
    <x v="2"/>
    <n v="0"/>
  </r>
  <r>
    <x v="124"/>
    <s v="William"/>
    <s v="Williams"/>
    <s v="IT02"/>
    <x v="122"/>
    <n v="62818"/>
    <n v="34"/>
    <x v="0"/>
    <s v="William Williams"/>
    <x v="0"/>
    <n v="7"/>
    <x v="2"/>
    <n v="0"/>
  </r>
  <r>
    <x v="125"/>
    <s v="David"/>
    <s v="Williams"/>
    <s v="HR01"/>
    <x v="123"/>
    <n v="85151"/>
    <n v="35"/>
    <x v="0"/>
    <s v="David Williams"/>
    <x v="5"/>
    <n v="7"/>
    <x v="2"/>
    <n v="0"/>
  </r>
  <r>
    <x v="126"/>
    <s v="Jane"/>
    <s v="Davis"/>
    <s v="FIN03"/>
    <x v="124"/>
    <n v="46390"/>
    <n v="95"/>
    <x v="0"/>
    <s v="Jane Davis"/>
    <x v="2"/>
    <n v="10"/>
    <x v="4"/>
    <n v="5566.8"/>
  </r>
  <r>
    <x v="127"/>
    <s v="John"/>
    <s v="Martinez"/>
    <s v="HR01"/>
    <x v="125"/>
    <n v="111920"/>
    <n v="90"/>
    <x v="1"/>
    <s v="John Martinez"/>
    <x v="5"/>
    <n v="4"/>
    <x v="3"/>
    <n v="8953.6"/>
  </r>
  <r>
    <x v="128"/>
    <s v="David"/>
    <s v="Anderson"/>
    <s v="HR01"/>
    <x v="126"/>
    <n v="115618"/>
    <n v="42"/>
    <x v="0"/>
    <s v="David Anderson"/>
    <x v="5"/>
    <n v="8"/>
    <x v="2"/>
    <n v="0"/>
  </r>
  <r>
    <x v="129"/>
    <s v="Sarah"/>
    <s v="Smith"/>
    <s v="SAL05"/>
    <x v="127"/>
    <n v="110618"/>
    <n v="88"/>
    <x v="2"/>
    <s v="Sarah Smith"/>
    <x v="4"/>
    <n v="3"/>
    <x v="3"/>
    <n v="8849.44"/>
  </r>
  <r>
    <x v="130"/>
    <s v="Melissa"/>
    <s v="Hernandez"/>
    <s v="OPS06"/>
    <x v="128"/>
    <n v="108395"/>
    <n v="78"/>
    <x v="1"/>
    <s v="Melissa Hernandez"/>
    <x v="3"/>
    <n v="4"/>
    <x v="1"/>
    <n v="5419.75"/>
  </r>
  <r>
    <x v="131"/>
    <s v="Melissa"/>
    <s v="Johnson"/>
    <s v="FIN03"/>
    <x v="129"/>
    <n v="88005"/>
    <n v="69"/>
    <x v="0"/>
    <s v="Melissa Johnson"/>
    <x v="2"/>
    <n v="8"/>
    <x v="0"/>
    <n v="1760.1000000000001"/>
  </r>
  <r>
    <x v="132"/>
    <s v="Jane"/>
    <s v="Garcia"/>
    <s v="MKT04"/>
    <x v="45"/>
    <n v="83007"/>
    <n v="82"/>
    <x v="0"/>
    <s v="Jane Garcia"/>
    <x v="1"/>
    <n v="4"/>
    <x v="1"/>
    <n v="4150.3500000000004"/>
  </r>
  <r>
    <x v="133"/>
    <s v="David"/>
    <s v="Davis"/>
    <s v="IT02"/>
    <x v="130"/>
    <n v="61547"/>
    <n v="68"/>
    <x v="0"/>
    <s v="David Davis"/>
    <x v="0"/>
    <n v="7"/>
    <x v="0"/>
    <n v="1230.94"/>
  </r>
  <r>
    <x v="134"/>
    <s v="James"/>
    <s v="Wilson"/>
    <s v="SAL05"/>
    <x v="131"/>
    <n v="83627.5"/>
    <n v="52"/>
    <x v="0"/>
    <s v="James Wilson"/>
    <x v="4"/>
    <n v="5"/>
    <x v="0"/>
    <n v="1672.55"/>
  </r>
  <r>
    <x v="135"/>
    <s v="Richard"/>
    <s v="Johnson"/>
    <s v="OPS06"/>
    <x v="132"/>
    <n v="50399"/>
    <n v="92"/>
    <x v="1"/>
    <s v="Richard Johnson"/>
    <x v="3"/>
    <n v="8"/>
    <x v="3"/>
    <n v="4031.92"/>
  </r>
  <r>
    <x v="136"/>
    <s v="Richard"/>
    <s v="Williams"/>
    <s v="FIN03"/>
    <x v="133"/>
    <n v="83627.5"/>
    <n v="62"/>
    <x v="0"/>
    <s v="Richard Williams"/>
    <x v="2"/>
    <n v="10"/>
    <x v="0"/>
    <n v="1672.55"/>
  </r>
  <r>
    <x v="137"/>
    <s v="John"/>
    <s v="Hernandez"/>
    <s v="OPS06"/>
    <x v="134"/>
    <n v="52720"/>
    <n v="68"/>
    <x v="0"/>
    <s v="John Hernandez"/>
    <x v="3"/>
    <n v="8"/>
    <x v="0"/>
    <n v="1054.4000000000001"/>
  </r>
  <r>
    <x v="138"/>
    <s v="Sarah"/>
    <s v="Gonzalez"/>
    <s v="OPS06"/>
    <x v="135"/>
    <n v="65065"/>
    <n v="98"/>
    <x v="0"/>
    <s v="Sarah Gonzalez"/>
    <x v="3"/>
    <n v="8"/>
    <x v="4"/>
    <n v="7807.7999999999993"/>
  </r>
  <r>
    <x v="139"/>
    <s v="Melissa"/>
    <s v="Hernandez"/>
    <s v="SAL05"/>
    <x v="136"/>
    <n v="83627.5"/>
    <n v="94"/>
    <x v="2"/>
    <s v="Melissa Hernandez"/>
    <x v="4"/>
    <n v="11"/>
    <x v="3"/>
    <n v="6690.2"/>
  </r>
  <r>
    <x v="140"/>
    <s v="Melissa"/>
    <s v="Hernandez"/>
    <s v="OPS06"/>
    <x v="137"/>
    <n v="108119"/>
    <n v="57"/>
    <x v="2"/>
    <s v="Melissa Hernandez"/>
    <x v="3"/>
    <n v="7"/>
    <x v="0"/>
    <n v="2162.38"/>
  </r>
  <r>
    <x v="141"/>
    <s v="John"/>
    <s v="Davis"/>
    <s v="IT02"/>
    <x v="138"/>
    <n v="83627.5"/>
    <n v="96"/>
    <x v="0"/>
    <s v="John Davis"/>
    <x v="0"/>
    <n v="6"/>
    <x v="4"/>
    <n v="10035.299999999999"/>
  </r>
  <r>
    <x v="142"/>
    <s v="Richard"/>
    <s v="Davis"/>
    <s v="HR01"/>
    <x v="139"/>
    <n v="106896"/>
    <n v="52"/>
    <x v="1"/>
    <s v="Richard Davis"/>
    <x v="5"/>
    <n v="3"/>
    <x v="0"/>
    <n v="2137.92"/>
  </r>
  <r>
    <x v="143"/>
    <m/>
    <s v="Jones"/>
    <s v="IT02"/>
    <x v="140"/>
    <n v="112887"/>
    <n v="59"/>
    <x v="0"/>
    <s v=" Jones"/>
    <x v="0"/>
    <n v="7"/>
    <x v="0"/>
    <n v="2257.7400000000002"/>
  </r>
  <r>
    <x v="144"/>
    <s v="William"/>
    <s v="Rodriguez"/>
    <s v="FIN03"/>
    <x v="141"/>
    <n v="85457"/>
    <n v="79"/>
    <x v="0"/>
    <s v="William Rodriguez"/>
    <x v="2"/>
    <n v="3"/>
    <x v="1"/>
    <n v="4272.8500000000004"/>
  </r>
  <r>
    <x v="145"/>
    <s v="Melissa"/>
    <s v="Miller"/>
    <s v="SAL05"/>
    <x v="142"/>
    <n v="62798"/>
    <n v="30"/>
    <x v="0"/>
    <s v="Melissa Miller"/>
    <x v="4"/>
    <n v="10"/>
    <x v="2"/>
    <n v="0"/>
  </r>
  <r>
    <x v="146"/>
    <s v="Emily"/>
    <s v="Martinez"/>
    <s v="OPS06"/>
    <x v="143"/>
    <n v="47794"/>
    <n v="73"/>
    <x v="1"/>
    <s v="Emily Martinez"/>
    <x v="3"/>
    <n v="4"/>
    <x v="1"/>
    <n v="2389.7000000000003"/>
  </r>
  <r>
    <x v="147"/>
    <s v="James"/>
    <s v="Rodriguez"/>
    <s v="MKT04"/>
    <x v="144"/>
    <n v="93094"/>
    <n v="74"/>
    <x v="0"/>
    <s v="James Rodriguez"/>
    <x v="1"/>
    <n v="9"/>
    <x v="1"/>
    <n v="4654.7"/>
  </r>
  <r>
    <x v="148"/>
    <s v="Amanda"/>
    <s v="Brown"/>
    <s v="IT02"/>
    <x v="145"/>
    <n v="118634"/>
    <n v="91"/>
    <x v="0"/>
    <s v="Amanda Brown"/>
    <x v="0"/>
    <n v="3"/>
    <x v="3"/>
    <n v="9490.71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3CD2A3-E88B-4525-BA11-3931323E7AA5}" name="PivotTable12" cacheId="18"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rowHeaderCaption="Employment Status">
  <location ref="A9:A10" firstHeaderRow="1" firstDataRow="1" firstDataCol="0"/>
  <pivotFields count="15">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dataField="1" numFmtId="165" showAll="0"/>
    <pivotField numFmtId="1" showAll="0"/>
    <pivotField showAll="0">
      <items count="4">
        <item x="0"/>
        <item x="1"/>
        <item x="2"/>
        <item t="default"/>
      </items>
    </pivotField>
    <pivotField showAll="0"/>
    <pivotField showAll="0">
      <items count="7">
        <item x="2"/>
        <item x="5"/>
        <item x="0"/>
        <item x="1"/>
        <item x="3"/>
        <item x="4"/>
        <item t="default"/>
      </items>
    </pivotField>
    <pivotField numFmtId="1" showAll="0"/>
    <pivotField showAll="0">
      <items count="6">
        <item x="1"/>
        <item x="0"/>
        <item x="3"/>
        <item x="2"/>
        <item x="4"/>
        <item t="default"/>
      </items>
    </pivotField>
    <pivotField numFmtId="164" showAll="0"/>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Items count="1">
    <i/>
  </rowItems>
  <colItems count="1">
    <i/>
  </colItems>
  <dataFields count="1">
    <dataField name="Average of Salary" fld="5" subtotal="average" baseField="0" baseItem="9" numFmtId="165"/>
  </dataFields>
  <formats count="1">
    <format dxfId="95">
      <pivotArea outline="0" collapsedLevelsAreSubtotals="1"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552AFC-A0FE-4EE8-8884-06CF72E99500}" name="PivotTable11" cacheId="18"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rowHeaderCaption="Employment Status">
  <location ref="A3:A4" firstHeaderRow="1" firstDataRow="1" firstDataCol="0"/>
  <pivotFields count="15">
    <pivotField dataField="1" showAll="0"/>
    <pivotField showAll="0"/>
    <pivotField showAll="0"/>
    <pivotField showAll="0"/>
    <pivotField numFmtId="14" showAll="0">
      <items count="15">
        <item x="0"/>
        <item x="1"/>
        <item x="2"/>
        <item x="3"/>
        <item x="4"/>
        <item x="5"/>
        <item x="6"/>
        <item x="7"/>
        <item x="8"/>
        <item x="9"/>
        <item x="10"/>
        <item x="11"/>
        <item x="12"/>
        <item x="13"/>
        <item t="default"/>
      </items>
    </pivotField>
    <pivotField numFmtId="165" showAll="0"/>
    <pivotField numFmtId="1" showAll="0"/>
    <pivotField showAll="0">
      <items count="4">
        <item x="0"/>
        <item x="1"/>
        <item x="2"/>
        <item t="default"/>
      </items>
    </pivotField>
    <pivotField showAll="0"/>
    <pivotField showAll="0">
      <items count="7">
        <item x="2"/>
        <item x="5"/>
        <item x="0"/>
        <item x="1"/>
        <item x="3"/>
        <item x="4"/>
        <item t="default"/>
      </items>
    </pivotField>
    <pivotField numFmtId="1" showAll="0"/>
    <pivotField showAll="0">
      <items count="6">
        <item x="1"/>
        <item x="0"/>
        <item x="3"/>
        <item x="2"/>
        <item x="4"/>
        <item t="default"/>
      </items>
    </pivotField>
    <pivotField numFmtId="164" showAll="0"/>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Items count="1">
    <i/>
  </rowItems>
  <colItems count="1">
    <i/>
  </colItems>
  <dataFields count="1">
    <dataField name="Count of Employee" fld="0" subtotal="count" baseField="0" baseItem="0" numFmtId="1"/>
  </dataFields>
  <formats count="1">
    <format dxfId="96">
      <pivotArea outline="0" collapsedLevelsAreSubtotals="1"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BFAC20-849A-4919-8F3A-71091FE21F6F}" name="PivotTable8" cacheId="18"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2" rowHeaderCaption="Department Name">
  <location ref="D15:E21" firstHeaderRow="1" firstDataRow="1" firstDataCol="1"/>
  <pivotFields count="15">
    <pivotField dataField="1" showAll="0"/>
    <pivotField showAll="0"/>
    <pivotField showAll="0"/>
    <pivotField showAll="0"/>
    <pivotField numFmtId="14" showAll="0">
      <items count="15">
        <item x="0"/>
        <item x="1"/>
        <item x="2"/>
        <item x="3"/>
        <item x="4"/>
        <item x="5"/>
        <item x="6"/>
        <item x="7"/>
        <item x="8"/>
        <item x="9"/>
        <item x="10"/>
        <item x="11"/>
        <item x="12"/>
        <item x="13"/>
        <item t="default"/>
      </items>
    </pivotField>
    <pivotField numFmtId="165" showAll="0"/>
    <pivotField numFmtId="1" showAll="0"/>
    <pivotField showAll="0">
      <items count="4">
        <item x="0"/>
        <item x="1"/>
        <item x="2"/>
        <item t="default"/>
      </items>
    </pivotField>
    <pivotField showAll="0"/>
    <pivotField axis="axisRow" showAll="0">
      <items count="7">
        <item x="2"/>
        <item x="5"/>
        <item x="0"/>
        <item x="1"/>
        <item x="3"/>
        <item x="4"/>
        <item t="default"/>
      </items>
    </pivotField>
    <pivotField numFmtId="1" showAll="0"/>
    <pivotField showAll="0">
      <items count="6">
        <item x="1"/>
        <item x="0"/>
        <item x="3"/>
        <item x="2"/>
        <item x="4"/>
        <item t="default"/>
      </items>
    </pivotField>
    <pivotField numFmtId="164" showAll="0"/>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9"/>
  </rowFields>
  <rowItems count="6">
    <i>
      <x/>
    </i>
    <i>
      <x v="1"/>
    </i>
    <i>
      <x v="2"/>
    </i>
    <i>
      <x v="3"/>
    </i>
    <i>
      <x v="4"/>
    </i>
    <i>
      <x v="5"/>
    </i>
  </rowItems>
  <colItems count="1">
    <i/>
  </colItems>
  <dataFields count="1">
    <dataField name="Count of Employee" fld="0" subtotal="count" baseField="0" baseItem="0"/>
  </dataFields>
  <chartFormats count="5">
    <chartFormat chart="4" format="4"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A35FD5-0B13-4AEE-BD87-7D6B70D16E46}" name="PivotTable7" cacheId="18"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rowHeaderCaption="Years">
  <location ref="J26:K35" firstHeaderRow="1" firstDataRow="1" firstDataCol="1"/>
  <pivotFields count="15">
    <pivotField dataField="1" showAll="0">
      <items count="150">
        <item x="65"/>
        <item x="135"/>
        <item x="120"/>
        <item x="112"/>
        <item x="55"/>
        <item x="90"/>
        <item x="117"/>
        <item x="99"/>
        <item x="108"/>
        <item x="21"/>
        <item x="62"/>
        <item x="47"/>
        <item x="20"/>
        <item x="109"/>
        <item x="28"/>
        <item x="11"/>
        <item x="60"/>
        <item x="113"/>
        <item x="19"/>
        <item x="9"/>
        <item x="144"/>
        <item x="130"/>
        <item x="44"/>
        <item x="73"/>
        <item x="13"/>
        <item x="72"/>
        <item x="38"/>
        <item x="51"/>
        <item x="70"/>
        <item x="5"/>
        <item x="14"/>
        <item x="22"/>
        <item x="56"/>
        <item x="83"/>
        <item x="97"/>
        <item x="94"/>
        <item x="42"/>
        <item x="133"/>
        <item x="114"/>
        <item x="75"/>
        <item x="71"/>
        <item x="54"/>
        <item x="35"/>
        <item x="100"/>
        <item x="68"/>
        <item x="1"/>
        <item x="98"/>
        <item x="79"/>
        <item x="128"/>
        <item x="93"/>
        <item x="126"/>
        <item x="24"/>
        <item x="136"/>
        <item x="89"/>
        <item x="124"/>
        <item x="31"/>
        <item x="10"/>
        <item x="131"/>
        <item x="127"/>
        <item x="110"/>
        <item x="57"/>
        <item x="81"/>
        <item x="86"/>
        <item x="122"/>
        <item x="67"/>
        <item x="17"/>
        <item x="59"/>
        <item x="36"/>
        <item x="49"/>
        <item x="12"/>
        <item x="101"/>
        <item x="145"/>
        <item x="115"/>
        <item x="82"/>
        <item x="142"/>
        <item x="29"/>
        <item x="43"/>
        <item x="96"/>
        <item x="40"/>
        <item x="48"/>
        <item x="95"/>
        <item x="23"/>
        <item x="69"/>
        <item x="104"/>
        <item x="33"/>
        <item x="76"/>
        <item x="52"/>
        <item x="141"/>
        <item x="129"/>
        <item x="107"/>
        <item x="63"/>
        <item x="103"/>
        <item x="147"/>
        <item x="87"/>
        <item x="6"/>
        <item x="88"/>
        <item x="7"/>
        <item x="27"/>
        <item x="139"/>
        <item x="119"/>
        <item x="58"/>
        <item x="148"/>
        <item x="138"/>
        <item x="84"/>
        <item x="34"/>
        <item x="146"/>
        <item x="125"/>
        <item x="16"/>
        <item x="91"/>
        <item x="74"/>
        <item x="4"/>
        <item x="66"/>
        <item x="80"/>
        <item x="102"/>
        <item x="123"/>
        <item x="140"/>
        <item x="85"/>
        <item x="53"/>
        <item x="18"/>
        <item x="121"/>
        <item x="143"/>
        <item x="61"/>
        <item x="77"/>
        <item x="32"/>
        <item x="15"/>
        <item x="0"/>
        <item x="37"/>
        <item x="25"/>
        <item x="132"/>
        <item x="137"/>
        <item x="78"/>
        <item x="45"/>
        <item x="2"/>
        <item x="111"/>
        <item x="39"/>
        <item x="30"/>
        <item x="116"/>
        <item x="3"/>
        <item x="8"/>
        <item x="46"/>
        <item x="105"/>
        <item x="106"/>
        <item x="118"/>
        <item x="64"/>
        <item x="26"/>
        <item x="92"/>
        <item x="134"/>
        <item x="41"/>
        <item x="50"/>
        <item t="default"/>
      </items>
    </pivotField>
    <pivotField showAll="0"/>
    <pivotField showAll="0"/>
    <pivotField showAll="0"/>
    <pivotField numFmtId="14" showAll="0">
      <items count="15">
        <item x="0"/>
        <item x="1"/>
        <item x="2"/>
        <item x="3"/>
        <item x="4"/>
        <item x="5"/>
        <item x="6"/>
        <item x="7"/>
        <item x="8"/>
        <item x="9"/>
        <item x="10"/>
        <item x="11"/>
        <item x="12"/>
        <item x="13"/>
        <item t="default"/>
      </items>
    </pivotField>
    <pivotField numFmtId="165" showAll="0"/>
    <pivotField numFmtId="1" showAll="0"/>
    <pivotField showAll="0">
      <items count="4">
        <item x="0"/>
        <item x="1"/>
        <item x="2"/>
        <item t="default"/>
      </items>
    </pivotField>
    <pivotField showAll="0"/>
    <pivotField showAll="0">
      <items count="7">
        <item x="2"/>
        <item x="5"/>
        <item x="0"/>
        <item x="1"/>
        <item x="3"/>
        <item x="4"/>
        <item t="default"/>
      </items>
    </pivotField>
    <pivotField numFmtId="1" showAll="0"/>
    <pivotField showAll="0">
      <items count="6">
        <item x="1"/>
        <item x="0"/>
        <item x="3"/>
        <item x="2"/>
        <item x="4"/>
        <item t="default"/>
      </items>
    </pivotField>
    <pivotField numFmtId="164" showAll="0"/>
    <pivotField showAll="0">
      <items count="7">
        <item sd="0" x="0"/>
        <item sd="0" x="1"/>
        <item sd="0" x="2"/>
        <item sd="0" x="3"/>
        <item sd="0" x="4"/>
        <item sd="0" x="5"/>
        <item t="default"/>
      </items>
    </pivotField>
    <pivotField axis="axisRow" showAll="0">
      <items count="12">
        <item sd="0" x="0"/>
        <item sd="0" x="1"/>
        <item sd="0" x="2"/>
        <item sd="0" x="3"/>
        <item sd="0" x="4"/>
        <item sd="0" x="5"/>
        <item sd="0" x="6"/>
        <item sd="0" x="7"/>
        <item sd="0" x="8"/>
        <item sd="0" x="9"/>
        <item sd="0" x="10"/>
        <item t="default"/>
      </items>
    </pivotField>
  </pivotFields>
  <rowFields count="1">
    <field x="14"/>
  </rowFields>
  <rowItems count="9">
    <i>
      <x v="1"/>
    </i>
    <i>
      <x v="2"/>
    </i>
    <i>
      <x v="3"/>
    </i>
    <i>
      <x v="4"/>
    </i>
    <i>
      <x v="5"/>
    </i>
    <i>
      <x v="6"/>
    </i>
    <i>
      <x v="7"/>
    </i>
    <i>
      <x v="8"/>
    </i>
    <i>
      <x v="9"/>
    </i>
  </rowItems>
  <colItems count="1">
    <i/>
  </colItems>
  <dataFields count="1">
    <dataField name="Count of Employee" fld="0" subtotal="count" baseField="0" baseItem="0" numFmtId="1"/>
  </dataFields>
  <formats count="5">
    <format dxfId="99">
      <pivotArea field="14" type="button" dataOnly="0" labelOnly="1" outline="0" axis="axisRow" fieldPosition="0"/>
    </format>
    <format dxfId="100">
      <pivotArea field="14" type="button" dataOnly="0" labelOnly="1" outline="0" axis="axisRow" fieldPosition="0"/>
    </format>
    <format dxfId="101">
      <pivotArea field="14" type="button" dataOnly="0" labelOnly="1" outline="0" axis="axisRow" fieldPosition="0"/>
    </format>
    <format dxfId="102">
      <pivotArea field="14" type="button" dataOnly="0" labelOnly="1" outline="0" axis="axisRow" fieldPosition="0"/>
    </format>
    <format dxfId="97">
      <pivotArea outline="0" collapsedLevelsAreSubtotals="1"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893C88-3596-45E1-B94E-F8FCC6082300}" name="PivotTable6" cacheId="18"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rowHeaderCaption="Performance Band">
  <location ref="J15:K20" firstHeaderRow="1" firstDataRow="1" firstDataCol="1"/>
  <pivotFields count="15">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numFmtId="165" showAll="0"/>
    <pivotField numFmtId="1" showAll="0"/>
    <pivotField showAll="0">
      <items count="4">
        <item x="0"/>
        <item x="1"/>
        <item x="2"/>
        <item t="default"/>
      </items>
    </pivotField>
    <pivotField showAll="0"/>
    <pivotField showAll="0">
      <items count="7">
        <item x="2"/>
        <item x="5"/>
        <item x="0"/>
        <item x="1"/>
        <item x="3"/>
        <item x="4"/>
        <item t="default"/>
      </items>
    </pivotField>
    <pivotField numFmtId="1" showAll="0"/>
    <pivotField axis="axisRow" showAll="0">
      <items count="6">
        <item x="1"/>
        <item x="0"/>
        <item x="3"/>
        <item x="2"/>
        <item x="4"/>
        <item t="default"/>
      </items>
    </pivotField>
    <pivotField dataField="1" numFmtId="164" showAll="0"/>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11"/>
  </rowFields>
  <rowItems count="5">
    <i>
      <x/>
    </i>
    <i>
      <x v="1"/>
    </i>
    <i>
      <x v="2"/>
    </i>
    <i>
      <x v="3"/>
    </i>
    <i>
      <x v="4"/>
    </i>
  </rowItems>
  <colItems count="1">
    <i/>
  </colItems>
  <dataFields count="1">
    <dataField name="Sum of Eligible Bonus Amount" fld="12" baseField="0" baseItem="0" numFmtId="165"/>
  </dataFields>
  <formats count="1">
    <format dxfId="91">
      <pivotArea outline="0" collapsedLevelsAreSubtotals="1" fieldPosition="0"/>
    </format>
  </formats>
  <chartFormats count="12">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1" count="1" selected="0">
            <x v="0"/>
          </reference>
        </references>
      </pivotArea>
    </chartFormat>
    <chartFormat chart="2" format="14">
      <pivotArea type="data" outline="0" fieldPosition="0">
        <references count="2">
          <reference field="4294967294" count="1" selected="0">
            <x v="0"/>
          </reference>
          <reference field="11" count="1" selected="0">
            <x v="1"/>
          </reference>
        </references>
      </pivotArea>
    </chartFormat>
    <chartFormat chart="2" format="15">
      <pivotArea type="data" outline="0" fieldPosition="0">
        <references count="2">
          <reference field="4294967294" count="1" selected="0">
            <x v="0"/>
          </reference>
          <reference field="11" count="1" selected="0">
            <x v="2"/>
          </reference>
        </references>
      </pivotArea>
    </chartFormat>
    <chartFormat chart="2" format="16">
      <pivotArea type="data" outline="0" fieldPosition="0">
        <references count="2">
          <reference field="4294967294" count="1" selected="0">
            <x v="0"/>
          </reference>
          <reference field="11" count="1" selected="0">
            <x v="3"/>
          </reference>
        </references>
      </pivotArea>
    </chartFormat>
    <chartFormat chart="2" format="17">
      <pivotArea type="data" outline="0" fieldPosition="0">
        <references count="2">
          <reference field="4294967294" count="1" selected="0">
            <x v="0"/>
          </reference>
          <reference field="11" count="1" selected="0">
            <x v="4"/>
          </reference>
        </references>
      </pivotArea>
    </chartFormat>
    <chartFormat chart="4" format="24" series="1">
      <pivotArea type="data" outline="0" fieldPosition="0">
        <references count="1">
          <reference field="4294967294" count="1" selected="0">
            <x v="0"/>
          </reference>
        </references>
      </pivotArea>
    </chartFormat>
    <chartFormat chart="4" format="25">
      <pivotArea type="data" outline="0" fieldPosition="0">
        <references count="2">
          <reference field="4294967294" count="1" selected="0">
            <x v="0"/>
          </reference>
          <reference field="11" count="1" selected="0">
            <x v="0"/>
          </reference>
        </references>
      </pivotArea>
    </chartFormat>
    <chartFormat chart="4" format="26">
      <pivotArea type="data" outline="0" fieldPosition="0">
        <references count="2">
          <reference field="4294967294" count="1" selected="0">
            <x v="0"/>
          </reference>
          <reference field="11" count="1" selected="0">
            <x v="1"/>
          </reference>
        </references>
      </pivotArea>
    </chartFormat>
    <chartFormat chart="4" format="27">
      <pivotArea type="data" outline="0" fieldPosition="0">
        <references count="2">
          <reference field="4294967294" count="1" selected="0">
            <x v="0"/>
          </reference>
          <reference field="11" count="1" selected="0">
            <x v="2"/>
          </reference>
        </references>
      </pivotArea>
    </chartFormat>
    <chartFormat chart="4" format="28">
      <pivotArea type="data" outline="0" fieldPosition="0">
        <references count="2">
          <reference field="4294967294" count="1" selected="0">
            <x v="0"/>
          </reference>
          <reference field="11" count="1" selected="0">
            <x v="3"/>
          </reference>
        </references>
      </pivotArea>
    </chartFormat>
    <chartFormat chart="4" format="29">
      <pivotArea type="data" outline="0" fieldPosition="0">
        <references count="2">
          <reference field="4294967294" count="1" selected="0">
            <x v="0"/>
          </reference>
          <reference field="11" count="1" selected="0">
            <x v="4"/>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1E63B5-4936-4266-B62D-DD9ED75C854F}" name="PivotTable5" cacheId="18"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rowHeaderCaption="Employment Status">
  <location ref="J3:K6" firstHeaderRow="1" firstDataRow="1" firstDataCol="1"/>
  <pivotFields count="15">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numFmtId="165" showAll="0"/>
    <pivotField dataField="1" numFmtId="1" showAll="0"/>
    <pivotField axis="axisRow" showAll="0">
      <items count="4">
        <item x="0"/>
        <item x="1"/>
        <item x="2"/>
        <item t="default"/>
      </items>
    </pivotField>
    <pivotField showAll="0"/>
    <pivotField showAll="0">
      <items count="7">
        <item x="2"/>
        <item x="5"/>
        <item x="0"/>
        <item x="1"/>
        <item x="3"/>
        <item x="4"/>
        <item t="default"/>
      </items>
    </pivotField>
    <pivotField numFmtId="1" showAll="0"/>
    <pivotField showAll="0">
      <items count="6">
        <item x="1"/>
        <item x="0"/>
        <item x="3"/>
        <item x="2"/>
        <item x="4"/>
        <item t="default"/>
      </items>
    </pivotField>
    <pivotField numFmtId="164" showAll="0"/>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7"/>
  </rowFields>
  <rowItems count="3">
    <i>
      <x/>
    </i>
    <i>
      <x v="1"/>
    </i>
    <i>
      <x v="2"/>
    </i>
  </rowItems>
  <colItems count="1">
    <i/>
  </colItems>
  <dataFields count="1">
    <dataField name="Average of Perf. Score" fld="6" subtotal="average" baseField="7" baseItem="0" numFmtId="2"/>
  </dataFields>
  <formats count="1">
    <format dxfId="105">
      <pivotArea outline="0" collapsedLevelsAreSubtotals="1" fieldPosition="0"/>
    </format>
  </formats>
  <chartFormats count="8">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7" count="1" selected="0">
            <x v="0"/>
          </reference>
        </references>
      </pivotArea>
    </chartFormat>
    <chartFormat chart="2" format="10">
      <pivotArea type="data" outline="0" fieldPosition="0">
        <references count="2">
          <reference field="4294967294" count="1" selected="0">
            <x v="0"/>
          </reference>
          <reference field="7" count="1" selected="0">
            <x v="1"/>
          </reference>
        </references>
      </pivotArea>
    </chartFormat>
    <chartFormat chart="2" format="11">
      <pivotArea type="data" outline="0" fieldPosition="0">
        <references count="2">
          <reference field="4294967294" count="1" selected="0">
            <x v="0"/>
          </reference>
          <reference field="7" count="1" selected="0">
            <x v="2"/>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7" count="1" selected="0">
            <x v="0"/>
          </reference>
        </references>
      </pivotArea>
    </chartFormat>
    <chartFormat chart="4" format="18">
      <pivotArea type="data" outline="0" fieldPosition="0">
        <references count="2">
          <reference field="4294967294" count="1" selected="0">
            <x v="0"/>
          </reference>
          <reference field="7" count="1" selected="0">
            <x v="1"/>
          </reference>
        </references>
      </pivotArea>
    </chartFormat>
    <chartFormat chart="4" format="19">
      <pivotArea type="data" outline="0" fieldPosition="0">
        <references count="2">
          <reference field="4294967294" count="1" selected="0">
            <x v="0"/>
          </reference>
          <reference field="7" count="1" selected="0">
            <x v="2"/>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E925E7-1685-4A31-9D78-0D9EA8D1FC57}" name="PivotTable4" cacheId="18"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rowHeaderCaption="Department Name" colHeaderCaption="Employment Stataus">
  <location ref="D28:G35" firstHeaderRow="1" firstDataRow="2" firstDataCol="1"/>
  <pivotFields count="15">
    <pivotField dataField="1" showAll="0"/>
    <pivotField showAll="0"/>
    <pivotField showAll="0"/>
    <pivotField showAll="0"/>
    <pivotField numFmtId="14" showAll="0">
      <items count="15">
        <item x="0"/>
        <item x="1"/>
        <item x="2"/>
        <item x="3"/>
        <item x="4"/>
        <item x="5"/>
        <item x="6"/>
        <item x="7"/>
        <item x="8"/>
        <item x="9"/>
        <item x="10"/>
        <item x="11"/>
        <item x="12"/>
        <item x="13"/>
        <item t="default"/>
      </items>
    </pivotField>
    <pivotField numFmtId="165" showAll="0"/>
    <pivotField numFmtId="1" showAll="0"/>
    <pivotField axis="axisCol" showAll="0">
      <items count="4">
        <item x="0"/>
        <item x="1"/>
        <item x="2"/>
        <item t="default"/>
      </items>
    </pivotField>
    <pivotField showAll="0"/>
    <pivotField axis="axisRow" showAll="0">
      <items count="7">
        <item x="2"/>
        <item x="5"/>
        <item x="0"/>
        <item x="1"/>
        <item x="3"/>
        <item x="4"/>
        <item t="default"/>
      </items>
    </pivotField>
    <pivotField numFmtId="1" showAll="0"/>
    <pivotField showAll="0">
      <items count="6">
        <item x="1"/>
        <item x="0"/>
        <item x="3"/>
        <item x="2"/>
        <item x="4"/>
        <item t="default"/>
      </items>
    </pivotField>
    <pivotField numFmtId="164" showAll="0"/>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9"/>
  </rowFields>
  <rowItems count="6">
    <i>
      <x/>
    </i>
    <i>
      <x v="1"/>
    </i>
    <i>
      <x v="2"/>
    </i>
    <i>
      <x v="3"/>
    </i>
    <i>
      <x v="4"/>
    </i>
    <i>
      <x v="5"/>
    </i>
  </rowItems>
  <colFields count="1">
    <field x="7"/>
  </colFields>
  <colItems count="3">
    <i>
      <x/>
    </i>
    <i>
      <x v="1"/>
    </i>
    <i>
      <x v="2"/>
    </i>
  </colItems>
  <dataFields count="1">
    <dataField name="Count of Employee" fld="0" subtotal="count" baseField="0" baseItem="0"/>
  </dataField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50D6B7-3AFD-4666-8422-F69DBECD997B}" name="PivotTable3" cacheId="18"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2" rowHeaderCaption="Department Name">
  <location ref="D3:F9" firstHeaderRow="0" firstDataRow="1" firstDataCol="1"/>
  <pivotFields count="15">
    <pivotField dataField="1" showAll="0"/>
    <pivotField showAll="0"/>
    <pivotField showAll="0"/>
    <pivotField showAll="0"/>
    <pivotField numFmtId="14" showAll="0">
      <items count="15">
        <item x="0"/>
        <item x="1"/>
        <item x="2"/>
        <item x="3"/>
        <item x="4"/>
        <item x="5"/>
        <item x="6"/>
        <item x="7"/>
        <item x="8"/>
        <item x="9"/>
        <item x="10"/>
        <item x="11"/>
        <item x="12"/>
        <item x="13"/>
        <item t="default"/>
      </items>
    </pivotField>
    <pivotField dataField="1" numFmtId="165" showAll="0"/>
    <pivotField numFmtId="1" showAll="0"/>
    <pivotField showAll="0">
      <items count="4">
        <item x="0"/>
        <item x="1"/>
        <item x="2"/>
        <item t="default"/>
      </items>
    </pivotField>
    <pivotField showAll="0"/>
    <pivotField axis="axisRow" showAll="0">
      <items count="7">
        <item x="2"/>
        <item x="5"/>
        <item x="0"/>
        <item x="1"/>
        <item x="3"/>
        <item x="4"/>
        <item t="default"/>
      </items>
    </pivotField>
    <pivotField numFmtId="1" showAll="0"/>
    <pivotField showAll="0">
      <items count="6">
        <item x="1"/>
        <item x="0"/>
        <item x="3"/>
        <item x="2"/>
        <item x="4"/>
        <item t="default"/>
      </items>
    </pivotField>
    <pivotField numFmtId="164" showAll="0"/>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9"/>
  </rowFields>
  <rowItems count="6">
    <i>
      <x/>
    </i>
    <i>
      <x v="1"/>
    </i>
    <i>
      <x v="2"/>
    </i>
    <i>
      <x v="3"/>
    </i>
    <i>
      <x v="4"/>
    </i>
    <i>
      <x v="5"/>
    </i>
  </rowItems>
  <colFields count="1">
    <field x="-2"/>
  </colFields>
  <colItems count="2">
    <i>
      <x/>
    </i>
    <i i="1">
      <x v="1"/>
    </i>
  </colItems>
  <dataFields count="2">
    <dataField name="Average Salary" fld="5" subtotal="average" baseField="9" baseItem="0" numFmtId="165"/>
    <dataField name="Count of Emp ID" fld="0" subtotal="count" baseField="0" baseItem="0"/>
  </dataFields>
  <formats count="1">
    <format dxfId="98">
      <pivotArea outline="0" collapsedLevelsAreSubtotals="1" fieldPosition="0">
        <references count="1">
          <reference field="4294967294" count="1" selected="0">
            <x v="0"/>
          </reference>
        </references>
      </pivotArea>
    </format>
  </formats>
  <chartFormats count="4">
    <chartFormat chart="4"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 chart="11" format="7"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1"/>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tatus" xr10:uid="{CEDFD2B1-D9D5-4A35-B998-082085D0CEE6}" sourceName="Employment Status">
  <pivotTables>
    <pivotTable tabId="4" name="PivotTable7"/>
    <pivotTable tabId="4" name="PivotTable3"/>
    <pivotTable tabId="4" name="PivotTable4"/>
    <pivotTable tabId="4" name="PivotTable5"/>
    <pivotTable tabId="4" name="PivotTable6"/>
    <pivotTable tabId="4" name="PivotTable8"/>
    <pivotTable tabId="4" name="PivotTable11"/>
    <pivotTable tabId="4" name="PivotTable12"/>
  </pivotTables>
  <data>
    <tabular pivotCacheId="177849084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D8E21F12-54FE-4ADE-A556-A2129A6018C3}" sourceName="Department Name">
  <pivotTables>
    <pivotTable tabId="4" name="PivotTable7"/>
    <pivotTable tabId="4" name="PivotTable3"/>
    <pivotTable tabId="4" name="PivotTable4"/>
    <pivotTable tabId="4" name="PivotTable5"/>
    <pivotTable tabId="4" name="PivotTable6"/>
    <pivotTable tabId="4" name="PivotTable8"/>
    <pivotTable tabId="4" name="PivotTable11"/>
    <pivotTable tabId="4" name="PivotTable12"/>
  </pivotTables>
  <data>
    <tabular pivotCacheId="1778490842">
      <items count="6">
        <i x="2" s="1"/>
        <i x="5" s="1"/>
        <i x="0"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Band" xr10:uid="{FE4DBEA2-6D4F-473A-8596-B4D6C750EFDF}" sourceName="Performance Band">
  <pivotTables>
    <pivotTable tabId="4" name="PivotTable7"/>
    <pivotTable tabId="4" name="PivotTable3"/>
    <pivotTable tabId="4" name="PivotTable4"/>
    <pivotTable tabId="4" name="PivotTable5"/>
    <pivotTable tabId="4" name="PivotTable6"/>
    <pivotTable tabId="4" name="PivotTable8"/>
    <pivotTable tabId="4" name="PivotTable11"/>
    <pivotTable tabId="4" name="PivotTable12"/>
  </pivotTables>
  <data>
    <tabular pivotCacheId="1778490842">
      <items count="5">
        <i x="1" s="1"/>
        <i x="0" s="1"/>
        <i x="3" s="1"/>
        <i x="2"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92652E53-696E-4371-92B2-A8EF3713D5DF}" sourceName="Years">
  <pivotTables>
    <pivotTable tabId="4" name="PivotTable7"/>
    <pivotTable tabId="4" name="PivotTable3"/>
    <pivotTable tabId="4" name="PivotTable4"/>
    <pivotTable tabId="4" name="PivotTable5"/>
    <pivotTable tabId="4" name="PivotTable6"/>
    <pivotTable tabId="4" name="PivotTable8"/>
    <pivotTable tabId="4" name="PivotTable11"/>
    <pivotTable tabId="4" name="PivotTable12"/>
  </pivotTables>
  <data>
    <tabular pivotCacheId="1778490842">
      <items count="11">
        <i x="1" s="1"/>
        <i x="2" s="1"/>
        <i x="3" s="1"/>
        <i x="4" s="1"/>
        <i x="5" s="1"/>
        <i x="6" s="1"/>
        <i x="7" s="1"/>
        <i x="8" s="1"/>
        <i x="9" s="1"/>
        <i x="0" s="1" nd="1"/>
        <i x="10"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ment Status" xr10:uid="{FD5802D0-47EC-46A5-96B1-85D271DF4149}" cache="Slicer_Employment_Status" caption="Employment Status" style="Slicer Style 1" rowHeight="241300"/>
  <slicer name="Department Name" xr10:uid="{8E61AD73-D84A-47EC-9D8B-9BEF7978F93B}" cache="Slicer_Department_Name" caption="Department Name" columnCount="2" style="Slicer Style 1" rowHeight="241300"/>
  <slicer name="Performance Band" xr10:uid="{15BC1CD7-5695-4C29-9367-9E3F027B5898}" cache="Slicer_Performance_Band" caption="Performance Band" style="Slicer Style 1" rowHeight="241300"/>
  <slicer name="Years" xr10:uid="{FFA506A9-09CB-4391-BA5E-9BD485582FDE}" cache="Slicer_Years" caption="Years" columnCount="3" style="Slicer Styl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S151"/>
  <sheetViews>
    <sheetView zoomScaleNormal="100" workbookViewId="0">
      <selection activeCell="C5" sqref="C5"/>
    </sheetView>
  </sheetViews>
  <sheetFormatPr defaultRowHeight="15" x14ac:dyDescent="0.25"/>
  <cols>
    <col min="1" max="1" width="19.140625" customWidth="1"/>
    <col min="2" max="2" width="12.7109375" customWidth="1"/>
    <col min="3" max="3" width="22.140625" customWidth="1"/>
    <col min="4" max="4" width="14.140625" customWidth="1"/>
    <col min="5" max="5" width="14.85546875" customWidth="1"/>
    <col min="6" max="6" width="20.7109375" style="5" customWidth="1"/>
    <col min="7" max="7" width="18.140625" style="3" customWidth="1"/>
    <col min="8" max="8" width="13.7109375" style="4" customWidth="1"/>
    <col min="9" max="9" width="18.7109375" customWidth="1"/>
    <col min="10" max="10" width="21.42578125" customWidth="1"/>
    <col min="11" max="11" width="24.85546875" customWidth="1"/>
    <col min="12" max="12" width="10.140625" style="4" bestFit="1" customWidth="1"/>
    <col min="13" max="13" width="20.7109375" customWidth="1"/>
    <col min="14" max="14" width="27" style="2" customWidth="1"/>
  </cols>
  <sheetData>
    <row r="1" spans="2:19" x14ac:dyDescent="0.25">
      <c r="B1" s="25" t="s">
        <v>0</v>
      </c>
      <c r="C1" s="25" t="s">
        <v>1</v>
      </c>
      <c r="D1" s="25" t="s">
        <v>2</v>
      </c>
      <c r="E1" s="25" t="s">
        <v>3</v>
      </c>
      <c r="F1" s="26" t="s">
        <v>4</v>
      </c>
      <c r="G1" s="27" t="s">
        <v>5</v>
      </c>
      <c r="H1" s="28" t="s">
        <v>6</v>
      </c>
      <c r="I1" s="25" t="s">
        <v>7</v>
      </c>
      <c r="J1" s="29" t="s">
        <v>213</v>
      </c>
      <c r="K1" s="29" t="s">
        <v>214</v>
      </c>
      <c r="L1" s="30" t="s">
        <v>216</v>
      </c>
      <c r="M1" s="29" t="s">
        <v>217</v>
      </c>
      <c r="N1" s="31" t="s">
        <v>218</v>
      </c>
      <c r="O1" s="7"/>
    </row>
    <row r="2" spans="2:19" x14ac:dyDescent="0.25">
      <c r="B2" t="s">
        <v>8</v>
      </c>
      <c r="C2" t="s">
        <v>9</v>
      </c>
      <c r="D2" t="s">
        <v>10</v>
      </c>
      <c r="E2" t="s">
        <v>11</v>
      </c>
      <c r="F2" s="5">
        <v>43093</v>
      </c>
      <c r="G2" s="3">
        <v>50361</v>
      </c>
      <c r="H2" s="4">
        <v>52</v>
      </c>
      <c r="I2" t="s">
        <v>37</v>
      </c>
      <c r="J2" t="str">
        <f>C2&amp;" "&amp;D2</f>
        <v>Emily Brown</v>
      </c>
      <c r="K2" t="str">
        <f>_xlfn.XLOOKUP(E2,$R$5:$R$10, $S$5:$S$10)</f>
        <v>Information Technology</v>
      </c>
      <c r="L2" s="4">
        <f ca="1">DATEDIF(F2,TODAY(),"Y")</f>
        <v>8</v>
      </c>
      <c r="M2" t="str" cm="1">
        <f t="array" ref="M2">_xlfn.IFS(
H2&lt;50,"Needs Improvement",
H2&lt;70,"Developing",
H2&lt;85,"Achieving",
H2&lt;95,"Exceeding",
TRUE,"Outstanding")</f>
        <v>Developing</v>
      </c>
      <c r="N2" s="2">
        <f t="shared" ref="N2:N19" si="0">IF(M2="Needs Improvement",0,
IF(M2="Developing",G2*2%,
IF(M2="Achieving",G2*5%,
IF(M2="Exceeding",G2*8%,G2*12%))))</f>
        <v>1007.22</v>
      </c>
    </row>
    <row r="3" spans="2:19" x14ac:dyDescent="0.25">
      <c r="B3" t="s">
        <v>12</v>
      </c>
      <c r="C3" t="s">
        <v>13</v>
      </c>
      <c r="D3" t="s">
        <v>14</v>
      </c>
      <c r="E3" t="s">
        <v>15</v>
      </c>
      <c r="F3" s="5">
        <v>44659</v>
      </c>
      <c r="G3" s="3">
        <v>112673</v>
      </c>
      <c r="H3" s="4">
        <v>70</v>
      </c>
      <c r="I3" t="s">
        <v>37</v>
      </c>
      <c r="J3" t="str">
        <f>C3&amp;" "&amp;D3</f>
        <v>Richard Hernandez</v>
      </c>
      <c r="K3" t="str">
        <f t="shared" ref="K3:K66" si="1">_xlfn.XLOOKUP(E3,$R$5:$R$10, $S$5:$S$10)</f>
        <v>Marketing</v>
      </c>
      <c r="L3" s="4">
        <f t="shared" ref="L3:L66" ca="1" si="2">DATEDIF(F3,TODAY(),"Y")</f>
        <v>4</v>
      </c>
      <c r="M3" t="str" cm="1">
        <f t="array" ref="M3">_xlfn.IFS(
H3&lt;50,"Needs Improvement",
H3&lt;70,"Developing",
H3&lt;85,"Achieving",
H3&lt;95,"Exceeding",
TRUE,"Outstanding")</f>
        <v>Achieving</v>
      </c>
      <c r="N3" s="2">
        <f t="shared" si="0"/>
        <v>5633.6500000000005</v>
      </c>
    </row>
    <row r="4" spans="2:19" x14ac:dyDescent="0.25">
      <c r="B4" t="s">
        <v>16</v>
      </c>
      <c r="C4" t="s">
        <v>9</v>
      </c>
      <c r="D4" t="s">
        <v>17</v>
      </c>
      <c r="E4" t="s">
        <v>11</v>
      </c>
      <c r="F4" s="5">
        <v>42431</v>
      </c>
      <c r="G4" s="3">
        <v>114425</v>
      </c>
      <c r="H4" s="4">
        <v>54</v>
      </c>
      <c r="I4" t="s">
        <v>25</v>
      </c>
      <c r="J4" t="str">
        <f t="shared" ref="J4:J65" si="3">C4&amp;" "&amp;D4</f>
        <v>Emily Gonzalez</v>
      </c>
      <c r="K4" t="str">
        <f t="shared" si="1"/>
        <v>Information Technology</v>
      </c>
      <c r="L4" s="4">
        <f t="shared" ca="1" si="2"/>
        <v>10</v>
      </c>
      <c r="M4" t="str" cm="1">
        <f t="array" ref="M4">_xlfn.IFS(
H4&lt;50,"Needs Improvement",
H4&lt;70,"Developing",
H4&lt;85,"Achieving",
H4&lt;95,"Exceeding",
TRUE,"Outstanding")</f>
        <v>Developing</v>
      </c>
      <c r="N4" s="2">
        <f t="shared" si="0"/>
        <v>2288.5</v>
      </c>
      <c r="R4" s="6" t="s">
        <v>215</v>
      </c>
      <c r="S4" s="6" t="s">
        <v>197</v>
      </c>
    </row>
    <row r="5" spans="2:19" x14ac:dyDescent="0.25">
      <c r="B5" t="s">
        <v>18</v>
      </c>
      <c r="C5" t="s">
        <v>19</v>
      </c>
      <c r="D5" t="s">
        <v>20</v>
      </c>
      <c r="E5" t="s">
        <v>21</v>
      </c>
      <c r="F5" s="5">
        <v>45110</v>
      </c>
      <c r="G5" s="3">
        <v>103831</v>
      </c>
      <c r="H5" s="4">
        <v>70</v>
      </c>
      <c r="I5" t="s">
        <v>37</v>
      </c>
      <c r="J5" t="str">
        <f t="shared" si="3"/>
        <v>John Martinez</v>
      </c>
      <c r="K5" t="str">
        <f t="shared" si="1"/>
        <v>Finance</v>
      </c>
      <c r="L5" s="4">
        <f t="shared" ca="1" si="2"/>
        <v>3</v>
      </c>
      <c r="M5" t="str" cm="1">
        <f t="array" ref="M5">_xlfn.IFS(
H5&lt;50,"Needs Improvement",
H5&lt;70,"Developing",
H5&lt;85,"Achieving",
H5&lt;95,"Exceeding",
TRUE,"Outstanding")</f>
        <v>Achieving</v>
      </c>
      <c r="N5" s="2">
        <f t="shared" si="0"/>
        <v>5191.55</v>
      </c>
      <c r="R5" t="s">
        <v>73</v>
      </c>
      <c r="S5" t="s">
        <v>198</v>
      </c>
    </row>
    <row r="6" spans="2:19" x14ac:dyDescent="0.25">
      <c r="B6" t="s">
        <v>22</v>
      </c>
      <c r="C6" t="s">
        <v>23</v>
      </c>
      <c r="D6" t="s">
        <v>24</v>
      </c>
      <c r="E6" t="s">
        <v>11</v>
      </c>
      <c r="F6" s="5">
        <v>44977</v>
      </c>
      <c r="G6" s="3">
        <v>73785</v>
      </c>
      <c r="H6" s="4">
        <v>40</v>
      </c>
      <c r="I6" t="s">
        <v>25</v>
      </c>
      <c r="J6" t="str">
        <f t="shared" si="3"/>
        <v>Thomas Smith</v>
      </c>
      <c r="K6" t="str">
        <f t="shared" si="1"/>
        <v>Information Technology</v>
      </c>
      <c r="L6" s="4">
        <f t="shared" ca="1" si="2"/>
        <v>3</v>
      </c>
      <c r="M6" t="str" cm="1">
        <f t="array" ref="M6">_xlfn.IFS(
H6&lt;50,"Needs Improvement",
H6&lt;70,"Developing",
H6&lt;85,"Achieving",
H6&lt;95,"Exceeding",
TRUE,"Outstanding")</f>
        <v>Needs Improvement</v>
      </c>
      <c r="N6" s="2">
        <f t="shared" si="0"/>
        <v>0</v>
      </c>
      <c r="R6" t="s">
        <v>11</v>
      </c>
      <c r="S6" t="s">
        <v>199</v>
      </c>
    </row>
    <row r="7" spans="2:19" x14ac:dyDescent="0.25">
      <c r="B7" t="s">
        <v>26</v>
      </c>
      <c r="C7" t="s">
        <v>9</v>
      </c>
      <c r="D7" t="s">
        <v>27</v>
      </c>
      <c r="E7" t="s">
        <v>28</v>
      </c>
      <c r="F7" s="5">
        <v>43892</v>
      </c>
      <c r="G7" s="3">
        <v>115882</v>
      </c>
      <c r="H7" s="4">
        <v>49</v>
      </c>
      <c r="I7" t="s">
        <v>37</v>
      </c>
      <c r="J7" t="str">
        <f t="shared" si="3"/>
        <v>Emily Johnson</v>
      </c>
      <c r="K7" t="str">
        <f t="shared" si="1"/>
        <v>Operations</v>
      </c>
      <c r="L7" s="4">
        <f t="shared" ca="1" si="2"/>
        <v>6</v>
      </c>
      <c r="M7" t="str" cm="1">
        <f t="array" ref="M7">_xlfn.IFS(
H7&lt;50,"Needs Improvement",
H7&lt;70,"Developing",
H7&lt;85,"Achieving",
H7&lt;95,"Exceeding",
TRUE,"Outstanding")</f>
        <v>Needs Improvement</v>
      </c>
      <c r="N7" s="2">
        <f t="shared" si="0"/>
        <v>0</v>
      </c>
      <c r="R7" t="s">
        <v>21</v>
      </c>
      <c r="S7" t="s">
        <v>200</v>
      </c>
    </row>
    <row r="8" spans="2:19" x14ac:dyDescent="0.25">
      <c r="B8" t="s">
        <v>29</v>
      </c>
      <c r="C8" t="s">
        <v>19</v>
      </c>
      <c r="D8" t="s">
        <v>30</v>
      </c>
      <c r="E8" t="s">
        <v>28</v>
      </c>
      <c r="F8" s="5">
        <v>45272</v>
      </c>
      <c r="G8" s="3">
        <v>59980</v>
      </c>
      <c r="H8" s="4">
        <v>70</v>
      </c>
      <c r="I8" t="s">
        <v>25</v>
      </c>
      <c r="J8" t="str">
        <f t="shared" si="3"/>
        <v>John Wilson</v>
      </c>
      <c r="K8" t="str">
        <f t="shared" si="1"/>
        <v>Operations</v>
      </c>
      <c r="L8" s="4">
        <f t="shared" ca="1" si="2"/>
        <v>2</v>
      </c>
      <c r="M8" t="str" cm="1">
        <f t="array" ref="M8">_xlfn.IFS(
H8&lt;50,"Needs Improvement",
H8&lt;70,"Developing",
H8&lt;85,"Achieving",
H8&lt;95,"Exceeding",
TRUE,"Outstanding")</f>
        <v>Achieving</v>
      </c>
      <c r="N8" s="2">
        <f t="shared" si="0"/>
        <v>2999</v>
      </c>
      <c r="R8" t="s">
        <v>15</v>
      </c>
      <c r="S8" t="s">
        <v>201</v>
      </c>
    </row>
    <row r="9" spans="2:19" x14ac:dyDescent="0.25">
      <c r="B9" t="s">
        <v>31</v>
      </c>
      <c r="C9" t="s">
        <v>32</v>
      </c>
      <c r="D9" t="s">
        <v>24</v>
      </c>
      <c r="E9" t="s">
        <v>28</v>
      </c>
      <c r="F9" s="5">
        <v>44174</v>
      </c>
      <c r="G9" s="3">
        <v>68728</v>
      </c>
      <c r="H9" s="4">
        <v>45</v>
      </c>
      <c r="I9" t="s">
        <v>37</v>
      </c>
      <c r="J9" t="str">
        <f t="shared" si="3"/>
        <v>Jessica Smith</v>
      </c>
      <c r="K9" t="str">
        <f t="shared" si="1"/>
        <v>Operations</v>
      </c>
      <c r="L9" s="4">
        <f t="shared" ca="1" si="2"/>
        <v>5</v>
      </c>
      <c r="M9" t="str" cm="1">
        <f t="array" ref="M9">_xlfn.IFS(
H9&lt;50,"Needs Improvement",
H9&lt;70,"Developing",
H9&lt;85,"Achieving",
H9&lt;95,"Exceeding",
TRUE,"Outstanding")</f>
        <v>Needs Improvement</v>
      </c>
      <c r="N9" s="2">
        <f t="shared" si="0"/>
        <v>0</v>
      </c>
      <c r="R9" t="s">
        <v>36</v>
      </c>
      <c r="S9" t="s">
        <v>202</v>
      </c>
    </row>
    <row r="10" spans="2:19" x14ac:dyDescent="0.25">
      <c r="B10" t="s">
        <v>34</v>
      </c>
      <c r="C10" t="s">
        <v>35</v>
      </c>
      <c r="D10" t="s">
        <v>20</v>
      </c>
      <c r="E10" t="s">
        <v>36</v>
      </c>
      <c r="F10" s="5">
        <v>42676</v>
      </c>
      <c r="G10" s="3">
        <v>94998</v>
      </c>
      <c r="H10" s="4">
        <v>58</v>
      </c>
      <c r="I10" t="s">
        <v>37</v>
      </c>
      <c r="J10" t="str">
        <f t="shared" si="3"/>
        <v>Michael Martinez</v>
      </c>
      <c r="K10" t="str">
        <f t="shared" si="1"/>
        <v>Sales</v>
      </c>
      <c r="L10" s="4">
        <f t="shared" ca="1" si="2"/>
        <v>9</v>
      </c>
      <c r="M10" t="str" cm="1">
        <f t="array" ref="M10">_xlfn.IFS(
H10&lt;50,"Needs Improvement",
H10&lt;70,"Developing",
H10&lt;85,"Achieving",
H10&lt;95,"Exceeding",
TRUE,"Outstanding")</f>
        <v>Developing</v>
      </c>
      <c r="N10" s="2">
        <f t="shared" si="0"/>
        <v>1899.96</v>
      </c>
      <c r="R10" t="s">
        <v>28</v>
      </c>
      <c r="S10" t="s">
        <v>203</v>
      </c>
    </row>
    <row r="11" spans="2:19" x14ac:dyDescent="0.25">
      <c r="B11" t="s">
        <v>38</v>
      </c>
      <c r="C11" t="s">
        <v>9</v>
      </c>
      <c r="D11" t="s">
        <v>39</v>
      </c>
      <c r="E11" t="s">
        <v>36</v>
      </c>
      <c r="F11" s="5">
        <v>43911</v>
      </c>
      <c r="G11" s="3">
        <v>118635</v>
      </c>
      <c r="H11" s="4">
        <v>49</v>
      </c>
      <c r="I11" t="s">
        <v>37</v>
      </c>
      <c r="J11" t="str">
        <f t="shared" si="3"/>
        <v>Emily Miller</v>
      </c>
      <c r="K11" t="str">
        <f t="shared" si="1"/>
        <v>Sales</v>
      </c>
      <c r="L11" s="4">
        <f t="shared" ca="1" si="2"/>
        <v>6</v>
      </c>
      <c r="M11" t="str" cm="1">
        <f t="array" ref="M11">_xlfn.IFS(
H11&lt;50,"Needs Improvement",
H11&lt;70,"Developing",
H11&lt;85,"Achieving",
H11&lt;95,"Exceeding",
TRUE,"Outstanding")</f>
        <v>Needs Improvement</v>
      </c>
      <c r="N11" s="2">
        <f t="shared" si="0"/>
        <v>0</v>
      </c>
    </row>
    <row r="12" spans="2:19" x14ac:dyDescent="0.25">
      <c r="B12" t="s">
        <v>40</v>
      </c>
      <c r="C12" t="s">
        <v>9</v>
      </c>
      <c r="D12" t="s">
        <v>14</v>
      </c>
      <c r="E12" t="s">
        <v>11</v>
      </c>
      <c r="F12" s="5">
        <v>42425</v>
      </c>
      <c r="G12" s="3">
        <v>76918</v>
      </c>
      <c r="H12" s="4">
        <v>62</v>
      </c>
      <c r="I12" t="s">
        <v>37</v>
      </c>
      <c r="J12" t="str">
        <f t="shared" si="3"/>
        <v>Emily Hernandez</v>
      </c>
      <c r="K12" t="str">
        <f t="shared" si="1"/>
        <v>Information Technology</v>
      </c>
      <c r="L12" s="4">
        <f t="shared" ca="1" si="2"/>
        <v>10</v>
      </c>
      <c r="M12" t="str" cm="1">
        <f t="array" ref="M12">_xlfn.IFS(
H12&lt;50,"Needs Improvement",
H12&lt;70,"Developing",
H12&lt;85,"Achieving",
H12&lt;95,"Exceeding",
TRUE,"Outstanding")</f>
        <v>Developing</v>
      </c>
      <c r="N12" s="2">
        <f t="shared" si="0"/>
        <v>1538.3600000000001</v>
      </c>
    </row>
    <row r="13" spans="2:19" x14ac:dyDescent="0.25">
      <c r="B13" t="s">
        <v>41</v>
      </c>
      <c r="C13" t="s">
        <v>42</v>
      </c>
      <c r="D13" t="s">
        <v>43</v>
      </c>
      <c r="E13" t="s">
        <v>15</v>
      </c>
      <c r="F13" s="5">
        <v>44364</v>
      </c>
      <c r="G13" s="3">
        <v>61408</v>
      </c>
      <c r="H13" s="4">
        <v>48</v>
      </c>
      <c r="I13" t="s">
        <v>37</v>
      </c>
      <c r="J13" t="str">
        <f t="shared" si="3"/>
        <v>Jane Williams</v>
      </c>
      <c r="K13" t="str">
        <f t="shared" si="1"/>
        <v>Marketing</v>
      </c>
      <c r="L13" s="4">
        <f t="shared" ca="1" si="2"/>
        <v>5</v>
      </c>
      <c r="M13" t="str" cm="1">
        <f t="array" ref="M13">_xlfn.IFS(
H13&lt;50,"Needs Improvement",
H13&lt;70,"Developing",
H13&lt;85,"Achieving",
H13&lt;95,"Exceeding",
TRUE,"Outstanding")</f>
        <v>Needs Improvement</v>
      </c>
      <c r="N13" s="2">
        <f t="shared" si="0"/>
        <v>0</v>
      </c>
    </row>
    <row r="14" spans="2:19" x14ac:dyDescent="0.25">
      <c r="B14" t="s">
        <v>44</v>
      </c>
      <c r="C14" t="s">
        <v>42</v>
      </c>
      <c r="D14" t="s">
        <v>39</v>
      </c>
      <c r="E14" t="s">
        <v>15</v>
      </c>
      <c r="F14" s="5">
        <v>44001</v>
      </c>
      <c r="G14" s="3">
        <v>99990</v>
      </c>
      <c r="H14" s="4">
        <v>54</v>
      </c>
      <c r="I14" t="s">
        <v>37</v>
      </c>
      <c r="J14" t="str">
        <f t="shared" si="3"/>
        <v>Jane Miller</v>
      </c>
      <c r="K14" t="str">
        <f t="shared" si="1"/>
        <v>Marketing</v>
      </c>
      <c r="L14" s="4">
        <f t="shared" ca="1" si="2"/>
        <v>6</v>
      </c>
      <c r="M14" t="str" cm="1">
        <f t="array" ref="M14">_xlfn.IFS(
H14&lt;50,"Needs Improvement",
H14&lt;70,"Developing",
H14&lt;85,"Achieving",
H14&lt;95,"Exceeding",
TRUE,"Outstanding")</f>
        <v>Developing</v>
      </c>
      <c r="N14" s="2">
        <f t="shared" si="0"/>
        <v>1999.8</v>
      </c>
    </row>
    <row r="15" spans="2:19" x14ac:dyDescent="0.25">
      <c r="B15" t="s">
        <v>45</v>
      </c>
      <c r="C15" t="s">
        <v>46</v>
      </c>
      <c r="D15" t="s">
        <v>47</v>
      </c>
      <c r="E15" t="s">
        <v>15</v>
      </c>
      <c r="F15" s="5">
        <v>43820</v>
      </c>
      <c r="G15" s="3">
        <v>80385</v>
      </c>
      <c r="H15" s="4">
        <v>70</v>
      </c>
      <c r="I15" t="s">
        <v>37</v>
      </c>
      <c r="J15" t="str">
        <f t="shared" si="3"/>
        <v>Robert Jones</v>
      </c>
      <c r="K15" t="str">
        <f t="shared" si="1"/>
        <v>Marketing</v>
      </c>
      <c r="L15" s="4">
        <f t="shared" ca="1" si="2"/>
        <v>6</v>
      </c>
      <c r="M15" t="str" cm="1">
        <f t="array" ref="M15">_xlfn.IFS(
H15&lt;50,"Needs Improvement",
H15&lt;70,"Developing",
H15&lt;85,"Achieving",
H15&lt;95,"Exceeding",
TRUE,"Outstanding")</f>
        <v>Achieving</v>
      </c>
      <c r="N15" s="2">
        <f t="shared" si="0"/>
        <v>4019.25</v>
      </c>
    </row>
    <row r="16" spans="2:19" x14ac:dyDescent="0.25">
      <c r="B16" t="s">
        <v>48</v>
      </c>
      <c r="C16" t="s">
        <v>23</v>
      </c>
      <c r="D16" t="s">
        <v>33</v>
      </c>
      <c r="E16" t="s">
        <v>36</v>
      </c>
      <c r="F16" s="5">
        <v>45169</v>
      </c>
      <c r="G16" s="3">
        <v>65290</v>
      </c>
      <c r="H16" s="4">
        <v>77</v>
      </c>
      <c r="I16" t="s">
        <v>37</v>
      </c>
      <c r="J16" t="str">
        <f t="shared" si="3"/>
        <v>Thomas Rodriguez</v>
      </c>
      <c r="K16" t="str">
        <f t="shared" si="1"/>
        <v>Sales</v>
      </c>
      <c r="L16" s="4">
        <f t="shared" ca="1" si="2"/>
        <v>2</v>
      </c>
      <c r="M16" t="str" cm="1">
        <f t="array" ref="M16">_xlfn.IFS(
H16&lt;50,"Needs Improvement",
H16&lt;70,"Developing",
H16&lt;85,"Achieving",
H16&lt;95,"Exceeding",
TRUE,"Outstanding")</f>
        <v>Achieving</v>
      </c>
      <c r="N16" s="2">
        <f t="shared" si="0"/>
        <v>3264.5</v>
      </c>
    </row>
    <row r="17" spans="2:14" x14ac:dyDescent="0.25">
      <c r="B17" t="s">
        <v>49</v>
      </c>
      <c r="C17" t="s">
        <v>9</v>
      </c>
      <c r="D17" t="s">
        <v>50</v>
      </c>
      <c r="E17" t="s">
        <v>11</v>
      </c>
      <c r="F17" s="5">
        <v>42337</v>
      </c>
      <c r="G17" s="3">
        <v>105765</v>
      </c>
      <c r="H17" s="4">
        <v>42</v>
      </c>
      <c r="I17" t="s">
        <v>37</v>
      </c>
      <c r="J17" t="str">
        <f t="shared" si="3"/>
        <v>Emily Davis</v>
      </c>
      <c r="K17" t="str">
        <f t="shared" si="1"/>
        <v>Information Technology</v>
      </c>
      <c r="L17" s="4">
        <f t="shared" ca="1" si="2"/>
        <v>10</v>
      </c>
      <c r="M17" t="str" cm="1">
        <f t="array" ref="M17">_xlfn.IFS(
H17&lt;50,"Needs Improvement",
H17&lt;70,"Developing",
H17&lt;85,"Achieving",
H17&lt;95,"Exceeding",
TRUE,"Outstanding")</f>
        <v>Needs Improvement</v>
      </c>
      <c r="N17" s="2">
        <f t="shared" si="0"/>
        <v>0</v>
      </c>
    </row>
    <row r="18" spans="2:14" x14ac:dyDescent="0.25">
      <c r="B18" t="s">
        <v>51</v>
      </c>
      <c r="C18" t="s">
        <v>52</v>
      </c>
      <c r="D18" t="s">
        <v>20</v>
      </c>
      <c r="E18" t="s">
        <v>36</v>
      </c>
      <c r="F18" s="5">
        <v>42899</v>
      </c>
      <c r="G18" s="3">
        <v>102921</v>
      </c>
      <c r="H18" s="4">
        <v>49</v>
      </c>
      <c r="I18" t="s">
        <v>37</v>
      </c>
      <c r="J18" t="str">
        <f t="shared" si="3"/>
        <v>James Martinez</v>
      </c>
      <c r="K18" t="str">
        <f t="shared" si="1"/>
        <v>Sales</v>
      </c>
      <c r="L18" s="4">
        <f t="shared" ca="1" si="2"/>
        <v>9</v>
      </c>
      <c r="M18" t="str" cm="1">
        <f t="array" ref="M18">_xlfn.IFS(
H18&lt;50,"Needs Improvement",
H18&lt;70,"Developing",
H18&lt;85,"Achieving",
H18&lt;95,"Exceeding",
TRUE,"Outstanding")</f>
        <v>Needs Improvement</v>
      </c>
      <c r="N18" s="2">
        <f t="shared" si="0"/>
        <v>0</v>
      </c>
    </row>
    <row r="19" spans="2:14" x14ac:dyDescent="0.25">
      <c r="B19" t="s">
        <v>53</v>
      </c>
      <c r="C19" t="s">
        <v>54</v>
      </c>
      <c r="D19" t="s">
        <v>55</v>
      </c>
      <c r="E19" t="s">
        <v>15</v>
      </c>
      <c r="F19" s="5">
        <v>43235</v>
      </c>
      <c r="G19" s="3">
        <v>73984</v>
      </c>
      <c r="H19" s="4">
        <v>93</v>
      </c>
      <c r="I19" t="s">
        <v>37</v>
      </c>
      <c r="J19" t="str">
        <f t="shared" si="3"/>
        <v>Ashley Lopez</v>
      </c>
      <c r="K19" t="str">
        <f t="shared" si="1"/>
        <v>Marketing</v>
      </c>
      <c r="L19" s="4">
        <f t="shared" ca="1" si="2"/>
        <v>8</v>
      </c>
      <c r="M19" t="str" cm="1">
        <f t="array" ref="M19">_xlfn.IFS(
H19&lt;50,"Needs Improvement",
H19&lt;70,"Developing",
H19&lt;85,"Achieving",
H19&lt;95,"Exceeding",
TRUE,"Outstanding")</f>
        <v>Exceeding</v>
      </c>
      <c r="N19" s="2">
        <f t="shared" si="0"/>
        <v>5918.72</v>
      </c>
    </row>
    <row r="20" spans="2:14" x14ac:dyDescent="0.25">
      <c r="B20" t="s">
        <v>56</v>
      </c>
      <c r="C20" t="s">
        <v>57</v>
      </c>
      <c r="D20" t="s">
        <v>17</v>
      </c>
      <c r="E20" t="s">
        <v>11</v>
      </c>
      <c r="F20" s="5">
        <v>42575</v>
      </c>
      <c r="G20" s="3">
        <v>83627.5</v>
      </c>
      <c r="H20" s="4">
        <v>75</v>
      </c>
      <c r="I20" t="s">
        <v>37</v>
      </c>
      <c r="J20" t="str">
        <f t="shared" si="3"/>
        <v>Amanda Gonzalez</v>
      </c>
      <c r="K20" t="str">
        <f t="shared" si="1"/>
        <v>Information Technology</v>
      </c>
      <c r="L20" s="4">
        <f t="shared" ca="1" si="2"/>
        <v>9</v>
      </c>
      <c r="M20" t="str" cm="1">
        <f t="array" ref="M20">_xlfn.IFS(
H20&lt;50,"Needs Improvement",
H20&lt;70,"Developing",
H20&lt;85,"Achieving",
H20&lt;95,"Exceeding",
TRUE,"Outstanding")</f>
        <v>Achieving</v>
      </c>
      <c r="N20" s="2">
        <f t="shared" ref="N20:N83" si="4">IF(M20="Needs Improvement",0,
IF(M20="Developing",G20*2%,
IF(M20="Achieving",G20*5%,
IF(M20="Exceeding",G20*8%,G20*12%))))</f>
        <v>4181.375</v>
      </c>
    </row>
    <row r="21" spans="2:14" x14ac:dyDescent="0.25">
      <c r="B21" t="s">
        <v>58</v>
      </c>
      <c r="C21" t="s">
        <v>35</v>
      </c>
      <c r="D21" t="s">
        <v>14</v>
      </c>
      <c r="E21" t="s">
        <v>21</v>
      </c>
      <c r="F21" s="5">
        <v>43076</v>
      </c>
      <c r="G21" s="3">
        <v>118527</v>
      </c>
      <c r="H21" s="4">
        <v>50</v>
      </c>
      <c r="I21" t="s">
        <v>37</v>
      </c>
      <c r="J21" t="str">
        <f t="shared" si="3"/>
        <v>Michael Hernandez</v>
      </c>
      <c r="K21" t="str">
        <f t="shared" si="1"/>
        <v>Finance</v>
      </c>
      <c r="L21" s="4">
        <f t="shared" ca="1" si="2"/>
        <v>8</v>
      </c>
      <c r="M21" t="str" cm="1">
        <f t="array" ref="M21">_xlfn.IFS(
H21&lt;50,"Needs Improvement",
H21&lt;70,"Developing",
H21&lt;85,"Achieving",
H21&lt;95,"Exceeding",
TRUE,"Outstanding")</f>
        <v>Developing</v>
      </c>
      <c r="N21" s="2">
        <f t="shared" si="4"/>
        <v>2370.54</v>
      </c>
    </row>
    <row r="22" spans="2:14" x14ac:dyDescent="0.25">
      <c r="B22" t="s">
        <v>59</v>
      </c>
      <c r="C22" t="s">
        <v>13</v>
      </c>
      <c r="D22" t="s">
        <v>14</v>
      </c>
      <c r="E22" t="s">
        <v>15</v>
      </c>
      <c r="F22" s="5">
        <v>44353</v>
      </c>
      <c r="G22" s="3">
        <v>107871</v>
      </c>
      <c r="H22" s="4">
        <v>88</v>
      </c>
      <c r="I22" t="s">
        <v>37</v>
      </c>
      <c r="J22" t="str">
        <f t="shared" si="3"/>
        <v>Richard Hernandez</v>
      </c>
      <c r="K22" t="str">
        <f t="shared" si="1"/>
        <v>Marketing</v>
      </c>
      <c r="L22" s="4">
        <f t="shared" ca="1" si="2"/>
        <v>5</v>
      </c>
      <c r="M22" t="str" cm="1">
        <f t="array" ref="M22">_xlfn.IFS(
H22&lt;50,"Needs Improvement",
H22&lt;70,"Developing",
H22&lt;85,"Achieving",
H22&lt;95,"Exceeding",
TRUE,"Outstanding")</f>
        <v>Exceeding</v>
      </c>
      <c r="N22" s="2">
        <f t="shared" si="4"/>
        <v>8629.68</v>
      </c>
    </row>
    <row r="23" spans="2:14" x14ac:dyDescent="0.25">
      <c r="B23" t="s">
        <v>60</v>
      </c>
      <c r="C23" t="s">
        <v>35</v>
      </c>
      <c r="D23" t="s">
        <v>33</v>
      </c>
      <c r="E23" t="s">
        <v>11</v>
      </c>
      <c r="F23" s="5">
        <v>44815</v>
      </c>
      <c r="G23" s="3">
        <v>93956</v>
      </c>
      <c r="H23" s="4">
        <v>50</v>
      </c>
      <c r="I23" t="s">
        <v>25</v>
      </c>
      <c r="J23" t="str">
        <f t="shared" si="3"/>
        <v>Michael Rodriguez</v>
      </c>
      <c r="K23" t="str">
        <f t="shared" si="1"/>
        <v>Information Technology</v>
      </c>
      <c r="L23" s="4">
        <f t="shared" ca="1" si="2"/>
        <v>3</v>
      </c>
      <c r="M23" t="str" cm="1">
        <f t="array" ref="M23">_xlfn.IFS(
H23&lt;50,"Needs Improvement",
H23&lt;70,"Developing",
H23&lt;85,"Achieving",
H23&lt;95,"Exceeding",
TRUE,"Outstanding")</f>
        <v>Developing</v>
      </c>
      <c r="N23" s="2">
        <f t="shared" si="4"/>
        <v>1879.1200000000001</v>
      </c>
    </row>
    <row r="24" spans="2:14" x14ac:dyDescent="0.25">
      <c r="B24" t="s">
        <v>61</v>
      </c>
      <c r="C24" t="s">
        <v>32</v>
      </c>
      <c r="D24" t="s">
        <v>27</v>
      </c>
      <c r="E24" t="s">
        <v>21</v>
      </c>
      <c r="F24" s="5">
        <v>42565</v>
      </c>
      <c r="G24" s="3">
        <v>100851</v>
      </c>
      <c r="H24" s="4">
        <v>64</v>
      </c>
      <c r="I24" t="s">
        <v>37</v>
      </c>
      <c r="J24" t="str">
        <f t="shared" si="3"/>
        <v>Jessica Johnson</v>
      </c>
      <c r="K24" t="str">
        <f t="shared" si="1"/>
        <v>Finance</v>
      </c>
      <c r="L24" s="4">
        <f t="shared" ca="1" si="2"/>
        <v>9</v>
      </c>
      <c r="M24" t="str" cm="1">
        <f t="array" ref="M24">_xlfn.IFS(
H24&lt;50,"Needs Improvement",
H24&lt;70,"Developing",
H24&lt;85,"Achieving",
H24&lt;95,"Exceeding",
TRUE,"Outstanding")</f>
        <v>Developing</v>
      </c>
      <c r="N24" s="2">
        <f t="shared" si="4"/>
        <v>2017.02</v>
      </c>
    </row>
    <row r="25" spans="2:14" x14ac:dyDescent="0.25">
      <c r="B25" t="s">
        <v>62</v>
      </c>
      <c r="C25" t="s">
        <v>54</v>
      </c>
      <c r="D25" t="s">
        <v>43</v>
      </c>
      <c r="E25" t="s">
        <v>36</v>
      </c>
      <c r="F25" s="5">
        <v>44728</v>
      </c>
      <c r="G25" s="3">
        <v>68655</v>
      </c>
      <c r="H25" s="4">
        <v>32</v>
      </c>
      <c r="I25" t="s">
        <v>37</v>
      </c>
      <c r="J25" t="str">
        <f t="shared" si="3"/>
        <v>Ashley Williams</v>
      </c>
      <c r="K25" t="str">
        <f t="shared" si="1"/>
        <v>Sales</v>
      </c>
      <c r="L25" s="4">
        <f t="shared" ca="1" si="2"/>
        <v>4</v>
      </c>
      <c r="M25" t="str" cm="1">
        <f t="array" ref="M25">_xlfn.IFS(
H25&lt;50,"Needs Improvement",
H25&lt;70,"Developing",
H25&lt;85,"Achieving",
H25&lt;95,"Exceeding",
TRUE,"Outstanding")</f>
        <v>Needs Improvement</v>
      </c>
      <c r="N25" s="2">
        <f t="shared" si="4"/>
        <v>0</v>
      </c>
    </row>
    <row r="26" spans="2:14" x14ac:dyDescent="0.25">
      <c r="B26" t="s">
        <v>63</v>
      </c>
      <c r="D26" t="s">
        <v>43</v>
      </c>
      <c r="E26" t="s">
        <v>36</v>
      </c>
      <c r="F26" s="5">
        <v>45134</v>
      </c>
      <c r="G26" s="3">
        <v>81205</v>
      </c>
      <c r="H26" s="4">
        <v>59</v>
      </c>
      <c r="I26" t="s">
        <v>37</v>
      </c>
      <c r="J26" t="str">
        <f t="shared" si="3"/>
        <v xml:space="preserve"> Williams</v>
      </c>
      <c r="K26" t="str">
        <f t="shared" si="1"/>
        <v>Sales</v>
      </c>
      <c r="L26" s="4">
        <f t="shared" ca="1" si="2"/>
        <v>2</v>
      </c>
      <c r="M26" t="str" cm="1">
        <f t="array" ref="M26">_xlfn.IFS(
H26&lt;50,"Needs Improvement",
H26&lt;70,"Developing",
H26&lt;85,"Achieving",
H26&lt;95,"Exceeding",
TRUE,"Outstanding")</f>
        <v>Developing</v>
      </c>
      <c r="N26" s="2">
        <f t="shared" si="4"/>
        <v>1624.1000000000001</v>
      </c>
    </row>
    <row r="27" spans="2:14" x14ac:dyDescent="0.25">
      <c r="B27" t="s">
        <v>64</v>
      </c>
      <c r="C27" t="s">
        <v>19</v>
      </c>
      <c r="D27" t="s">
        <v>30</v>
      </c>
      <c r="E27" t="s">
        <v>36</v>
      </c>
      <c r="F27" s="5">
        <v>43732</v>
      </c>
      <c r="G27" s="3">
        <v>77610</v>
      </c>
      <c r="H27" s="4">
        <v>88</v>
      </c>
      <c r="I27" t="s">
        <v>37</v>
      </c>
      <c r="J27" t="str">
        <f t="shared" si="3"/>
        <v>John Wilson</v>
      </c>
      <c r="K27" t="str">
        <f t="shared" si="1"/>
        <v>Sales</v>
      </c>
      <c r="L27" s="4">
        <f t="shared" ca="1" si="2"/>
        <v>6</v>
      </c>
      <c r="M27" t="str" cm="1">
        <f t="array" ref="M27">_xlfn.IFS(
H27&lt;50,"Needs Improvement",
H27&lt;70,"Developing",
H27&lt;85,"Achieving",
H27&lt;95,"Exceeding",
TRUE,"Outstanding")</f>
        <v>Exceeding</v>
      </c>
      <c r="N27" s="2">
        <f t="shared" si="4"/>
        <v>6208.8</v>
      </c>
    </row>
    <row r="28" spans="2:14" x14ac:dyDescent="0.25">
      <c r="B28" t="s">
        <v>65</v>
      </c>
      <c r="C28" t="s">
        <v>23</v>
      </c>
      <c r="D28" t="s">
        <v>33</v>
      </c>
      <c r="E28" t="s">
        <v>11</v>
      </c>
      <c r="F28" s="5">
        <v>44765</v>
      </c>
      <c r="G28" s="3">
        <v>50873</v>
      </c>
      <c r="H28" s="4">
        <v>90</v>
      </c>
      <c r="I28" t="s">
        <v>37</v>
      </c>
      <c r="J28" t="str">
        <f t="shared" si="3"/>
        <v>Thomas Rodriguez</v>
      </c>
      <c r="K28" t="str">
        <f t="shared" si="1"/>
        <v>Information Technology</v>
      </c>
      <c r="L28" s="4">
        <f t="shared" ca="1" si="2"/>
        <v>3</v>
      </c>
      <c r="M28" t="str" cm="1">
        <f t="array" ref="M28">_xlfn.IFS(
H28&lt;50,"Needs Improvement",
H28&lt;70,"Developing",
H28&lt;85,"Achieving",
H28&lt;95,"Exceeding",
TRUE,"Outstanding")</f>
        <v>Exceeding</v>
      </c>
      <c r="N28" s="2">
        <f t="shared" si="4"/>
        <v>4069.84</v>
      </c>
    </row>
    <row r="29" spans="2:14" x14ac:dyDescent="0.25">
      <c r="B29" t="s">
        <v>66</v>
      </c>
      <c r="C29" t="s">
        <v>35</v>
      </c>
      <c r="D29" t="s">
        <v>30</v>
      </c>
      <c r="E29" t="s">
        <v>21</v>
      </c>
      <c r="F29" s="5">
        <v>43233</v>
      </c>
      <c r="G29" s="3">
        <v>85312</v>
      </c>
      <c r="H29" s="4">
        <v>66</v>
      </c>
      <c r="I29" t="s">
        <v>37</v>
      </c>
      <c r="J29" t="str">
        <f t="shared" si="3"/>
        <v>Michael Wilson</v>
      </c>
      <c r="K29" t="str">
        <f t="shared" si="1"/>
        <v>Finance</v>
      </c>
      <c r="L29" s="4">
        <f t="shared" ca="1" si="2"/>
        <v>8</v>
      </c>
      <c r="M29" t="str" cm="1">
        <f t="array" ref="M29">_xlfn.IFS(
H29&lt;50,"Needs Improvement",
H29&lt;70,"Developing",
H29&lt;85,"Achieving",
H29&lt;95,"Exceeding",
TRUE,"Outstanding")</f>
        <v>Developing</v>
      </c>
      <c r="N29" s="2">
        <f t="shared" si="4"/>
        <v>1706.24</v>
      </c>
    </row>
    <row r="30" spans="2:14" x14ac:dyDescent="0.25">
      <c r="B30" t="s">
        <v>67</v>
      </c>
      <c r="C30" t="s">
        <v>19</v>
      </c>
      <c r="D30" t="s">
        <v>33</v>
      </c>
      <c r="E30" t="s">
        <v>36</v>
      </c>
      <c r="F30" s="5">
        <v>42202</v>
      </c>
      <c r="G30" s="3">
        <v>83627.5</v>
      </c>
      <c r="H30" s="4">
        <v>68</v>
      </c>
      <c r="I30" t="s">
        <v>37</v>
      </c>
      <c r="J30" t="str">
        <f t="shared" si="3"/>
        <v>John Rodriguez</v>
      </c>
      <c r="K30" t="str">
        <f t="shared" si="1"/>
        <v>Sales</v>
      </c>
      <c r="L30" s="4">
        <f t="shared" ca="1" si="2"/>
        <v>10</v>
      </c>
      <c r="M30" t="str" cm="1">
        <f t="array" ref="M30">_xlfn.IFS(
H30&lt;50,"Needs Improvement",
H30&lt;70,"Developing",
H30&lt;85,"Achieving",
H30&lt;95,"Exceeding",
TRUE,"Outstanding")</f>
        <v>Developing</v>
      </c>
      <c r="N30" s="2">
        <f t="shared" si="4"/>
        <v>1672.55</v>
      </c>
    </row>
    <row r="31" spans="2:14" x14ac:dyDescent="0.25">
      <c r="B31" t="s">
        <v>68</v>
      </c>
      <c r="C31" t="s">
        <v>23</v>
      </c>
      <c r="D31" t="s">
        <v>14</v>
      </c>
      <c r="E31" t="s">
        <v>28</v>
      </c>
      <c r="F31" s="5">
        <v>42221</v>
      </c>
      <c r="G31" s="3">
        <v>97055</v>
      </c>
      <c r="H31" s="4">
        <v>80</v>
      </c>
      <c r="I31" t="s">
        <v>37</v>
      </c>
      <c r="J31" t="str">
        <f t="shared" si="3"/>
        <v>Thomas Hernandez</v>
      </c>
      <c r="K31" t="str">
        <f t="shared" si="1"/>
        <v>Operations</v>
      </c>
      <c r="L31" s="4">
        <f t="shared" ca="1" si="2"/>
        <v>10</v>
      </c>
      <c r="M31" t="str" cm="1">
        <f t="array" ref="M31">_xlfn.IFS(
H31&lt;50,"Needs Improvement",
H31&lt;70,"Developing",
H31&lt;85,"Achieving",
H31&lt;95,"Exceeding",
TRUE,"Outstanding")</f>
        <v>Achieving</v>
      </c>
      <c r="N31" s="2">
        <f t="shared" si="4"/>
        <v>4852.75</v>
      </c>
    </row>
    <row r="32" spans="2:14" x14ac:dyDescent="0.25">
      <c r="B32" t="s">
        <v>69</v>
      </c>
      <c r="C32" t="s">
        <v>35</v>
      </c>
      <c r="D32" t="s">
        <v>27</v>
      </c>
      <c r="E32" t="s">
        <v>11</v>
      </c>
      <c r="F32" s="5">
        <v>45195</v>
      </c>
      <c r="G32" s="3">
        <v>66069</v>
      </c>
      <c r="H32" s="4">
        <v>72</v>
      </c>
      <c r="I32" t="s">
        <v>37</v>
      </c>
      <c r="J32" t="str">
        <f t="shared" si="3"/>
        <v>Michael Johnson</v>
      </c>
      <c r="K32" t="str">
        <f t="shared" si="1"/>
        <v>Information Technology</v>
      </c>
      <c r="L32" s="4">
        <f t="shared" ca="1" si="2"/>
        <v>2</v>
      </c>
      <c r="M32" t="str" cm="1">
        <f t="array" ref="M32">_xlfn.IFS(
H32&lt;50,"Needs Improvement",
H32&lt;70,"Developing",
H32&lt;85,"Achieving",
H32&lt;95,"Exceeding",
TRUE,"Outstanding")</f>
        <v>Achieving</v>
      </c>
      <c r="N32" s="2">
        <f t="shared" si="4"/>
        <v>3303.4500000000003</v>
      </c>
    </row>
    <row r="33" spans="2:14" x14ac:dyDescent="0.25">
      <c r="B33" t="s">
        <v>70</v>
      </c>
      <c r="C33" t="s">
        <v>71</v>
      </c>
      <c r="D33" t="s">
        <v>10</v>
      </c>
      <c r="E33" t="s">
        <v>11</v>
      </c>
      <c r="F33" s="5">
        <v>43626</v>
      </c>
      <c r="G33" s="3">
        <v>90157</v>
      </c>
      <c r="H33" s="4">
        <v>58</v>
      </c>
      <c r="I33" t="s">
        <v>37</v>
      </c>
      <c r="J33" t="str">
        <f t="shared" si="3"/>
        <v>Sarah Brown</v>
      </c>
      <c r="K33" t="str">
        <f t="shared" si="1"/>
        <v>Information Technology</v>
      </c>
      <c r="L33" s="4">
        <f t="shared" ca="1" si="2"/>
        <v>7</v>
      </c>
      <c r="M33" t="str" cm="1">
        <f t="array" ref="M33">_xlfn.IFS(
H33&lt;50,"Needs Improvement",
H33&lt;70,"Developing",
H33&lt;85,"Achieving",
H33&lt;95,"Exceeding",
TRUE,"Outstanding")</f>
        <v>Developing</v>
      </c>
      <c r="N33" s="2">
        <f t="shared" si="4"/>
        <v>1803.14</v>
      </c>
    </row>
    <row r="34" spans="2:14" x14ac:dyDescent="0.25">
      <c r="B34" t="s">
        <v>72</v>
      </c>
      <c r="C34" t="s">
        <v>42</v>
      </c>
      <c r="D34" t="s">
        <v>20</v>
      </c>
      <c r="E34" t="s">
        <v>73</v>
      </c>
      <c r="F34" s="5">
        <v>44578</v>
      </c>
      <c r="G34" s="3">
        <v>59899</v>
      </c>
      <c r="H34" s="4">
        <v>78</v>
      </c>
      <c r="I34" t="s">
        <v>37</v>
      </c>
      <c r="J34" t="str">
        <f t="shared" si="3"/>
        <v>Jane Martinez</v>
      </c>
      <c r="K34" t="str">
        <f t="shared" si="1"/>
        <v>Human Resources</v>
      </c>
      <c r="L34" s="4">
        <f t="shared" ca="1" si="2"/>
        <v>4</v>
      </c>
      <c r="M34" t="str" cm="1">
        <f t="array" ref="M34">_xlfn.IFS(
H34&lt;50,"Needs Improvement",
H34&lt;70,"Developing",
H34&lt;85,"Achieving",
H34&lt;95,"Exceeding",
TRUE,"Outstanding")</f>
        <v>Achieving</v>
      </c>
      <c r="N34" s="2">
        <f t="shared" si="4"/>
        <v>2994.9500000000003</v>
      </c>
    </row>
    <row r="35" spans="2:14" x14ac:dyDescent="0.25">
      <c r="B35" t="s">
        <v>74</v>
      </c>
      <c r="C35" t="s">
        <v>9</v>
      </c>
      <c r="D35" t="s">
        <v>47</v>
      </c>
      <c r="E35" t="s">
        <v>21</v>
      </c>
      <c r="F35" s="5">
        <v>42919</v>
      </c>
      <c r="G35" s="3">
        <v>113389</v>
      </c>
      <c r="H35" s="4">
        <v>30</v>
      </c>
      <c r="I35" t="s">
        <v>37</v>
      </c>
      <c r="J35" t="str">
        <f t="shared" si="3"/>
        <v>Emily Jones</v>
      </c>
      <c r="K35" t="str">
        <f t="shared" si="1"/>
        <v>Finance</v>
      </c>
      <c r="L35" s="4">
        <f t="shared" ca="1" si="2"/>
        <v>9</v>
      </c>
      <c r="M35" t="str" cm="1">
        <f t="array" ref="M35">_xlfn.IFS(
H35&lt;50,"Needs Improvement",
H35&lt;70,"Developing",
H35&lt;85,"Achieving",
H35&lt;95,"Exceeding",
TRUE,"Outstanding")</f>
        <v>Needs Improvement</v>
      </c>
      <c r="N35" s="2">
        <f t="shared" si="4"/>
        <v>0</v>
      </c>
    </row>
    <row r="36" spans="2:14" x14ac:dyDescent="0.25">
      <c r="B36" t="s">
        <v>75</v>
      </c>
      <c r="D36" t="s">
        <v>10</v>
      </c>
      <c r="E36" t="s">
        <v>11</v>
      </c>
      <c r="F36" s="5">
        <v>42248</v>
      </c>
      <c r="G36" s="3">
        <v>102691</v>
      </c>
      <c r="H36" s="4">
        <v>52</v>
      </c>
      <c r="I36" t="s">
        <v>37</v>
      </c>
      <c r="J36" t="str">
        <f t="shared" si="3"/>
        <v xml:space="preserve"> Brown</v>
      </c>
      <c r="K36" t="str">
        <f t="shared" si="1"/>
        <v>Information Technology</v>
      </c>
      <c r="L36" s="4">
        <f t="shared" ca="1" si="2"/>
        <v>10</v>
      </c>
      <c r="M36" t="str" cm="1">
        <f t="array" ref="M36">_xlfn.IFS(
H36&lt;50,"Needs Improvement",
H36&lt;70,"Developing",
H36&lt;85,"Achieving",
H36&lt;95,"Exceeding",
TRUE,"Outstanding")</f>
        <v>Developing</v>
      </c>
      <c r="N36" s="2">
        <f t="shared" si="4"/>
        <v>2053.8200000000002</v>
      </c>
    </row>
    <row r="37" spans="2:14" x14ac:dyDescent="0.25">
      <c r="B37" t="s">
        <v>76</v>
      </c>
      <c r="C37" t="s">
        <v>19</v>
      </c>
      <c r="D37" t="s">
        <v>30</v>
      </c>
      <c r="E37" t="s">
        <v>28</v>
      </c>
      <c r="F37" s="5">
        <v>44776</v>
      </c>
      <c r="G37" s="3">
        <v>111845</v>
      </c>
      <c r="H37" s="4">
        <v>98</v>
      </c>
      <c r="I37" t="s">
        <v>37</v>
      </c>
      <c r="J37" t="str">
        <f t="shared" si="3"/>
        <v>John Wilson</v>
      </c>
      <c r="K37" t="str">
        <f t="shared" si="1"/>
        <v>Operations</v>
      </c>
      <c r="L37" s="4">
        <f t="shared" ca="1" si="2"/>
        <v>3</v>
      </c>
      <c r="M37" t="str" cm="1">
        <f t="array" ref="M37">_xlfn.IFS(
H37&lt;50,"Needs Improvement",
H37&lt;70,"Developing",
H37&lt;85,"Achieving",
H37&lt;95,"Exceeding",
TRUE,"Outstanding")</f>
        <v>Outstanding</v>
      </c>
      <c r="N37" s="2">
        <f t="shared" si="4"/>
        <v>13421.4</v>
      </c>
    </row>
    <row r="38" spans="2:14" x14ac:dyDescent="0.25">
      <c r="B38" t="s">
        <v>77</v>
      </c>
      <c r="C38" t="s">
        <v>78</v>
      </c>
      <c r="D38" t="s">
        <v>10</v>
      </c>
      <c r="E38" t="s">
        <v>36</v>
      </c>
      <c r="F38" s="5">
        <v>44741</v>
      </c>
      <c r="G38" s="3">
        <v>69219</v>
      </c>
      <c r="H38" s="4">
        <v>93</v>
      </c>
      <c r="I38" t="s">
        <v>37</v>
      </c>
      <c r="J38" t="str">
        <f t="shared" si="3"/>
        <v>Melissa Brown</v>
      </c>
      <c r="K38" t="str">
        <f t="shared" si="1"/>
        <v>Sales</v>
      </c>
      <c r="L38" s="4">
        <f t="shared" ca="1" si="2"/>
        <v>4</v>
      </c>
      <c r="M38" t="str" cm="1">
        <f t="array" ref="M38">_xlfn.IFS(
H38&lt;50,"Needs Improvement",
H38&lt;70,"Developing",
H38&lt;85,"Achieving",
H38&lt;95,"Exceeding",
TRUE,"Outstanding")</f>
        <v>Exceeding</v>
      </c>
      <c r="N38" s="2">
        <f t="shared" si="4"/>
        <v>5537.52</v>
      </c>
    </row>
    <row r="39" spans="2:14" x14ac:dyDescent="0.25">
      <c r="B39" t="s">
        <v>79</v>
      </c>
      <c r="C39" t="s">
        <v>35</v>
      </c>
      <c r="D39" t="s">
        <v>24</v>
      </c>
      <c r="E39" t="s">
        <v>21</v>
      </c>
      <c r="F39" s="5">
        <v>43949</v>
      </c>
      <c r="G39" s="3">
        <v>83627.5</v>
      </c>
      <c r="H39" s="4">
        <v>80</v>
      </c>
      <c r="I39" t="s">
        <v>25</v>
      </c>
      <c r="J39" t="str">
        <f t="shared" si="3"/>
        <v>Michael Smith</v>
      </c>
      <c r="K39" t="str">
        <f t="shared" si="1"/>
        <v>Finance</v>
      </c>
      <c r="L39" s="4">
        <f t="shared" ca="1" si="2"/>
        <v>6</v>
      </c>
      <c r="M39" t="str" cm="1">
        <f t="array" ref="M39">_xlfn.IFS(
H39&lt;50,"Needs Improvement",
H39&lt;70,"Developing",
H39&lt;85,"Achieving",
H39&lt;95,"Exceeding",
TRUE,"Outstanding")</f>
        <v>Achieving</v>
      </c>
      <c r="N39" s="2">
        <f t="shared" si="4"/>
        <v>4181.375</v>
      </c>
    </row>
    <row r="40" spans="2:14" x14ac:dyDescent="0.25">
      <c r="B40" t="s">
        <v>80</v>
      </c>
      <c r="C40" t="s">
        <v>71</v>
      </c>
      <c r="D40" t="s">
        <v>39</v>
      </c>
      <c r="E40" t="s">
        <v>28</v>
      </c>
      <c r="F40" s="5">
        <v>42987</v>
      </c>
      <c r="G40" s="3">
        <v>57514</v>
      </c>
      <c r="H40" s="4">
        <v>70</v>
      </c>
      <c r="I40" t="s">
        <v>37</v>
      </c>
      <c r="J40" t="str">
        <f t="shared" si="3"/>
        <v>Sarah Miller</v>
      </c>
      <c r="K40" t="str">
        <f t="shared" si="1"/>
        <v>Operations</v>
      </c>
      <c r="L40" s="4">
        <f t="shared" ca="1" si="2"/>
        <v>8</v>
      </c>
      <c r="M40" t="str" cm="1">
        <f t="array" ref="M40">_xlfn.IFS(
H40&lt;50,"Needs Improvement",
H40&lt;70,"Developing",
H40&lt;85,"Achieving",
H40&lt;95,"Exceeding",
TRUE,"Outstanding")</f>
        <v>Achieving</v>
      </c>
      <c r="N40" s="2">
        <f t="shared" si="4"/>
        <v>2875.7000000000003</v>
      </c>
    </row>
    <row r="41" spans="2:14" x14ac:dyDescent="0.25">
      <c r="B41" t="s">
        <v>81</v>
      </c>
      <c r="C41" t="s">
        <v>9</v>
      </c>
      <c r="D41" t="s">
        <v>30</v>
      </c>
      <c r="E41" t="s">
        <v>36</v>
      </c>
      <c r="F41" s="5">
        <v>43181</v>
      </c>
      <c r="G41" s="3">
        <v>86245</v>
      </c>
      <c r="H41" s="4">
        <v>71</v>
      </c>
      <c r="I41" t="s">
        <v>25</v>
      </c>
      <c r="J41" t="str">
        <f t="shared" si="3"/>
        <v>Emily Wilson</v>
      </c>
      <c r="K41" t="str">
        <f t="shared" si="1"/>
        <v>Sales</v>
      </c>
      <c r="L41" s="4">
        <f t="shared" ca="1" si="2"/>
        <v>8</v>
      </c>
      <c r="M41" t="str" cm="1">
        <f t="array" ref="M41">_xlfn.IFS(
H41&lt;50,"Needs Improvement",
H41&lt;70,"Developing",
H41&lt;85,"Achieving",
H41&lt;95,"Exceeding",
TRUE,"Outstanding")</f>
        <v>Achieving</v>
      </c>
      <c r="N41" s="2">
        <f t="shared" si="4"/>
        <v>4312.25</v>
      </c>
    </row>
    <row r="42" spans="2:14" x14ac:dyDescent="0.25">
      <c r="B42" t="s">
        <v>82</v>
      </c>
      <c r="C42" t="s">
        <v>83</v>
      </c>
      <c r="D42" t="s">
        <v>14</v>
      </c>
      <c r="E42" t="s">
        <v>36</v>
      </c>
      <c r="F42" s="5">
        <v>43958</v>
      </c>
      <c r="G42" s="3">
        <v>52407</v>
      </c>
      <c r="H42" s="4">
        <v>55</v>
      </c>
      <c r="I42" t="s">
        <v>37</v>
      </c>
      <c r="J42" t="str">
        <f t="shared" si="3"/>
        <v>David Hernandez</v>
      </c>
      <c r="K42" t="str">
        <f t="shared" si="1"/>
        <v>Sales</v>
      </c>
      <c r="L42" s="4">
        <f t="shared" ca="1" si="2"/>
        <v>6</v>
      </c>
      <c r="M42" t="str" cm="1">
        <f t="array" ref="M42">_xlfn.IFS(
H42&lt;50,"Needs Improvement",
H42&lt;70,"Developing",
H42&lt;85,"Achieving",
H42&lt;95,"Exceeding",
TRUE,"Outstanding")</f>
        <v>Developing</v>
      </c>
      <c r="N42" s="2">
        <f t="shared" si="4"/>
        <v>1048.1400000000001</v>
      </c>
    </row>
    <row r="43" spans="2:14" x14ac:dyDescent="0.25">
      <c r="B43" t="s">
        <v>84</v>
      </c>
      <c r="C43" t="s">
        <v>52</v>
      </c>
      <c r="D43" t="s">
        <v>24</v>
      </c>
      <c r="E43" t="s">
        <v>28</v>
      </c>
      <c r="F43" s="5">
        <v>43549</v>
      </c>
      <c r="G43" s="3">
        <v>66606</v>
      </c>
      <c r="H43" s="4">
        <v>93</v>
      </c>
      <c r="I43" t="s">
        <v>85</v>
      </c>
      <c r="J43" t="str">
        <f t="shared" si="3"/>
        <v>James Smith</v>
      </c>
      <c r="K43" t="str">
        <f t="shared" si="1"/>
        <v>Operations</v>
      </c>
      <c r="L43" s="4">
        <f t="shared" ca="1" si="2"/>
        <v>7</v>
      </c>
      <c r="M43" t="str" cm="1">
        <f t="array" ref="M43">_xlfn.IFS(
H43&lt;50,"Needs Improvement",
H43&lt;70,"Developing",
H43&lt;85,"Achieving",
H43&lt;95,"Exceeding",
TRUE,"Outstanding")</f>
        <v>Exceeding</v>
      </c>
      <c r="N43" s="2">
        <f t="shared" si="4"/>
        <v>5328.4800000000005</v>
      </c>
    </row>
    <row r="44" spans="2:14" x14ac:dyDescent="0.25">
      <c r="B44" t="s">
        <v>86</v>
      </c>
      <c r="C44" t="s">
        <v>71</v>
      </c>
      <c r="D44" t="s">
        <v>43</v>
      </c>
      <c r="E44" t="s">
        <v>11</v>
      </c>
      <c r="F44" s="5">
        <v>43686</v>
      </c>
      <c r="G44" s="3">
        <v>81896</v>
      </c>
      <c r="H44" s="4">
        <v>79</v>
      </c>
      <c r="I44" t="s">
        <v>85</v>
      </c>
      <c r="J44" t="str">
        <f t="shared" si="3"/>
        <v>Sarah Williams</v>
      </c>
      <c r="K44" t="str">
        <f t="shared" si="1"/>
        <v>Information Technology</v>
      </c>
      <c r="L44" s="4">
        <f t="shared" ca="1" si="2"/>
        <v>6</v>
      </c>
      <c r="M44" t="str" cm="1">
        <f t="array" ref="M44">_xlfn.IFS(
H44&lt;50,"Needs Improvement",
H44&lt;70,"Developing",
H44&lt;85,"Achieving",
H44&lt;95,"Exceeding",
TRUE,"Outstanding")</f>
        <v>Achieving</v>
      </c>
      <c r="N44" s="2">
        <f t="shared" si="4"/>
        <v>4094.8</v>
      </c>
    </row>
    <row r="45" spans="2:14" x14ac:dyDescent="0.25">
      <c r="B45" t="s">
        <v>87</v>
      </c>
      <c r="C45" t="s">
        <v>57</v>
      </c>
      <c r="D45" t="s">
        <v>55</v>
      </c>
      <c r="E45" t="s">
        <v>36</v>
      </c>
      <c r="F45" s="5">
        <v>42565</v>
      </c>
      <c r="G45" s="3">
        <v>78402</v>
      </c>
      <c r="H45" s="4">
        <v>54</v>
      </c>
      <c r="I45" t="s">
        <v>37</v>
      </c>
      <c r="J45" t="str">
        <f t="shared" si="3"/>
        <v>Amanda Lopez</v>
      </c>
      <c r="K45" t="str">
        <f t="shared" si="1"/>
        <v>Sales</v>
      </c>
      <c r="L45" s="4">
        <f t="shared" ca="1" si="2"/>
        <v>9</v>
      </c>
      <c r="M45" t="str" cm="1">
        <f t="array" ref="M45">_xlfn.IFS(
H45&lt;50,"Needs Improvement",
H45&lt;70,"Developing",
H45&lt;85,"Achieving",
H45&lt;95,"Exceeding",
TRUE,"Outstanding")</f>
        <v>Developing</v>
      </c>
      <c r="N45" s="2">
        <f t="shared" si="4"/>
        <v>1568.04</v>
      </c>
    </row>
    <row r="46" spans="2:14" x14ac:dyDescent="0.25">
      <c r="B46" t="s">
        <v>88</v>
      </c>
      <c r="C46" t="s">
        <v>23</v>
      </c>
      <c r="D46" t="s">
        <v>55</v>
      </c>
      <c r="E46" t="s">
        <v>28</v>
      </c>
      <c r="F46" s="5">
        <v>42647</v>
      </c>
      <c r="G46" s="3">
        <v>105498</v>
      </c>
      <c r="H46" s="4">
        <v>76</v>
      </c>
      <c r="I46" t="s">
        <v>37</v>
      </c>
      <c r="J46" t="str">
        <f t="shared" si="3"/>
        <v>Thomas Lopez</v>
      </c>
      <c r="K46" t="str">
        <f t="shared" si="1"/>
        <v>Operations</v>
      </c>
      <c r="L46" s="4">
        <f t="shared" ca="1" si="2"/>
        <v>9</v>
      </c>
      <c r="M46" t="str" cm="1">
        <f t="array" ref="M46">_xlfn.IFS(
H46&lt;50,"Needs Improvement",
H46&lt;70,"Developing",
H46&lt;85,"Achieving",
H46&lt;95,"Exceeding",
TRUE,"Outstanding")</f>
        <v>Achieving</v>
      </c>
      <c r="N46" s="2">
        <f t="shared" si="4"/>
        <v>5274.9000000000005</v>
      </c>
    </row>
    <row r="47" spans="2:14" x14ac:dyDescent="0.25">
      <c r="B47" t="s">
        <v>89</v>
      </c>
      <c r="C47" t="s">
        <v>78</v>
      </c>
      <c r="D47" t="s">
        <v>27</v>
      </c>
      <c r="E47" t="s">
        <v>15</v>
      </c>
      <c r="F47" s="5">
        <v>43656</v>
      </c>
      <c r="G47" s="3">
        <v>91749</v>
      </c>
      <c r="H47" s="4">
        <v>72</v>
      </c>
      <c r="I47" t="s">
        <v>25</v>
      </c>
      <c r="J47" t="str">
        <f t="shared" si="3"/>
        <v>Melissa Johnson</v>
      </c>
      <c r="K47" t="str">
        <f t="shared" si="1"/>
        <v>Marketing</v>
      </c>
      <c r="L47" s="4">
        <f t="shared" ca="1" si="2"/>
        <v>6</v>
      </c>
      <c r="M47" t="str" cm="1">
        <f t="array" ref="M47">_xlfn.IFS(
H47&lt;50,"Needs Improvement",
H47&lt;70,"Developing",
H47&lt;85,"Achieving",
H47&lt;95,"Exceeding",
TRUE,"Outstanding")</f>
        <v>Achieving</v>
      </c>
      <c r="N47" s="2">
        <f t="shared" si="4"/>
        <v>4587.45</v>
      </c>
    </row>
    <row r="48" spans="2:14" x14ac:dyDescent="0.25">
      <c r="B48" t="s">
        <v>90</v>
      </c>
      <c r="C48" t="s">
        <v>57</v>
      </c>
      <c r="D48" t="s">
        <v>27</v>
      </c>
      <c r="E48" t="s">
        <v>28</v>
      </c>
      <c r="F48" s="5">
        <v>44437</v>
      </c>
      <c r="G48" s="3">
        <v>99935</v>
      </c>
      <c r="H48" s="4">
        <v>84</v>
      </c>
      <c r="I48" t="s">
        <v>85</v>
      </c>
      <c r="J48" t="str">
        <f t="shared" si="3"/>
        <v>Amanda Johnson</v>
      </c>
      <c r="K48" t="str">
        <f t="shared" si="1"/>
        <v>Operations</v>
      </c>
      <c r="L48" s="4">
        <f t="shared" ca="1" si="2"/>
        <v>4</v>
      </c>
      <c r="M48" t="str" cm="1">
        <f t="array" ref="M48">_xlfn.IFS(
H48&lt;50,"Needs Improvement",
H48&lt;70,"Developing",
H48&lt;85,"Achieving",
H48&lt;95,"Exceeding",
TRUE,"Outstanding")</f>
        <v>Achieving</v>
      </c>
      <c r="N48" s="2">
        <f t="shared" si="4"/>
        <v>4996.75</v>
      </c>
    </row>
    <row r="49" spans="2:14" x14ac:dyDescent="0.25">
      <c r="B49" t="s">
        <v>91</v>
      </c>
      <c r="C49" t="s">
        <v>19</v>
      </c>
      <c r="D49" t="s">
        <v>50</v>
      </c>
      <c r="E49" t="s">
        <v>11</v>
      </c>
      <c r="F49" s="5">
        <v>42761</v>
      </c>
      <c r="G49" s="3">
        <v>83531</v>
      </c>
      <c r="H49" s="4">
        <v>30</v>
      </c>
      <c r="I49" t="s">
        <v>25</v>
      </c>
      <c r="J49" t="str">
        <f t="shared" si="3"/>
        <v>John Davis</v>
      </c>
      <c r="K49" t="str">
        <f t="shared" si="1"/>
        <v>Information Technology</v>
      </c>
      <c r="L49" s="4">
        <f t="shared" ca="1" si="2"/>
        <v>9</v>
      </c>
      <c r="M49" t="str" cm="1">
        <f t="array" ref="M49">_xlfn.IFS(
H49&lt;50,"Needs Improvement",
H49&lt;70,"Developing",
H49&lt;85,"Achieving",
H49&lt;95,"Exceeding",
TRUE,"Outstanding")</f>
        <v>Needs Improvement</v>
      </c>
      <c r="N49" s="2">
        <f t="shared" si="4"/>
        <v>0</v>
      </c>
    </row>
    <row r="50" spans="2:14" x14ac:dyDescent="0.25">
      <c r="B50" t="s">
        <v>92</v>
      </c>
      <c r="C50" t="s">
        <v>52</v>
      </c>
      <c r="D50" t="s">
        <v>27</v>
      </c>
      <c r="E50" t="s">
        <v>15</v>
      </c>
      <c r="F50" s="5">
        <v>43981</v>
      </c>
      <c r="G50" s="3">
        <v>75023</v>
      </c>
      <c r="H50" s="4">
        <v>70</v>
      </c>
      <c r="I50" t="s">
        <v>37</v>
      </c>
      <c r="J50" t="str">
        <f t="shared" si="3"/>
        <v>James Johnson</v>
      </c>
      <c r="K50" t="str">
        <f t="shared" si="1"/>
        <v>Marketing</v>
      </c>
      <c r="L50" s="4">
        <f t="shared" ca="1" si="2"/>
        <v>6</v>
      </c>
      <c r="M50" t="str" cm="1">
        <f t="array" ref="M50">_xlfn.IFS(
H50&lt;50,"Needs Improvement",
H50&lt;70,"Developing",
H50&lt;85,"Achieving",
H50&lt;95,"Exceeding",
TRUE,"Outstanding")</f>
        <v>Achieving</v>
      </c>
      <c r="N50" s="2">
        <f t="shared" si="4"/>
        <v>3751.15</v>
      </c>
    </row>
    <row r="51" spans="2:14" x14ac:dyDescent="0.25">
      <c r="B51" t="s">
        <v>93</v>
      </c>
      <c r="C51" t="s">
        <v>42</v>
      </c>
      <c r="D51" t="s">
        <v>50</v>
      </c>
      <c r="E51" t="s">
        <v>73</v>
      </c>
      <c r="F51" s="5">
        <v>44612</v>
      </c>
      <c r="G51" s="3">
        <v>93290</v>
      </c>
      <c r="H51" s="4">
        <v>53</v>
      </c>
      <c r="I51" t="s">
        <v>37</v>
      </c>
      <c r="J51" t="str">
        <f t="shared" si="3"/>
        <v>Jane Davis</v>
      </c>
      <c r="K51" t="str">
        <f t="shared" si="1"/>
        <v>Human Resources</v>
      </c>
      <c r="L51" s="4">
        <f t="shared" ca="1" si="2"/>
        <v>4</v>
      </c>
      <c r="M51" t="str" cm="1">
        <f t="array" ref="M51">_xlfn.IFS(
H51&lt;50,"Needs Improvement",
H51&lt;70,"Developing",
H51&lt;85,"Achieving",
H51&lt;95,"Exceeding",
TRUE,"Outstanding")</f>
        <v>Developing</v>
      </c>
      <c r="N51" s="2">
        <f t="shared" si="4"/>
        <v>1865.8</v>
      </c>
    </row>
    <row r="52" spans="2:14" x14ac:dyDescent="0.25">
      <c r="B52" t="s">
        <v>94</v>
      </c>
      <c r="C52" t="s">
        <v>13</v>
      </c>
      <c r="D52" t="s">
        <v>50</v>
      </c>
      <c r="E52" t="s">
        <v>28</v>
      </c>
      <c r="F52" s="5">
        <v>42628</v>
      </c>
      <c r="G52" s="3">
        <v>115527</v>
      </c>
      <c r="H52" s="4">
        <v>63</v>
      </c>
      <c r="I52" t="s">
        <v>85</v>
      </c>
      <c r="J52" t="str">
        <f t="shared" si="3"/>
        <v>Richard Davis</v>
      </c>
      <c r="K52" t="str">
        <f t="shared" si="1"/>
        <v>Operations</v>
      </c>
      <c r="L52" s="4">
        <f t="shared" ca="1" si="2"/>
        <v>9</v>
      </c>
      <c r="M52" t="str" cm="1">
        <f t="array" ref="M52">_xlfn.IFS(
H52&lt;50,"Needs Improvement",
H52&lt;70,"Developing",
H52&lt;85,"Achieving",
H52&lt;95,"Exceeding",
TRUE,"Outstanding")</f>
        <v>Developing</v>
      </c>
      <c r="N52" s="2">
        <f t="shared" si="4"/>
        <v>2310.54</v>
      </c>
    </row>
    <row r="53" spans="2:14" x14ac:dyDescent="0.25">
      <c r="B53" t="s">
        <v>95</v>
      </c>
      <c r="C53" t="s">
        <v>23</v>
      </c>
      <c r="D53" t="s">
        <v>33</v>
      </c>
      <c r="E53" t="s">
        <v>21</v>
      </c>
      <c r="F53" s="5">
        <v>43745</v>
      </c>
      <c r="G53" s="3">
        <v>55920</v>
      </c>
      <c r="H53" s="4">
        <v>84</v>
      </c>
      <c r="I53" t="s">
        <v>37</v>
      </c>
      <c r="J53" t="str">
        <f t="shared" si="3"/>
        <v>Thomas Rodriguez</v>
      </c>
      <c r="K53" t="str">
        <f t="shared" si="1"/>
        <v>Finance</v>
      </c>
      <c r="L53" s="4">
        <f t="shared" ca="1" si="2"/>
        <v>6</v>
      </c>
      <c r="M53" t="str" cm="1">
        <f t="array" ref="M53">_xlfn.IFS(
H53&lt;50,"Needs Improvement",
H53&lt;70,"Developing",
H53&lt;85,"Achieving",
H53&lt;95,"Exceeding",
TRUE,"Outstanding")</f>
        <v>Achieving</v>
      </c>
      <c r="N53" s="2">
        <f t="shared" si="4"/>
        <v>2796</v>
      </c>
    </row>
    <row r="54" spans="2:14" x14ac:dyDescent="0.25">
      <c r="B54" t="s">
        <v>96</v>
      </c>
      <c r="C54" t="s">
        <v>9</v>
      </c>
      <c r="D54" t="s">
        <v>27</v>
      </c>
      <c r="E54" t="s">
        <v>36</v>
      </c>
      <c r="F54" s="5">
        <v>43464</v>
      </c>
      <c r="G54" s="3">
        <v>80189</v>
      </c>
      <c r="H54" s="4">
        <v>30</v>
      </c>
      <c r="I54" t="s">
        <v>37</v>
      </c>
      <c r="J54" t="str">
        <f t="shared" si="3"/>
        <v>Emily Johnson</v>
      </c>
      <c r="K54" t="str">
        <f t="shared" si="1"/>
        <v>Sales</v>
      </c>
      <c r="L54" s="4">
        <f t="shared" ca="1" si="2"/>
        <v>7</v>
      </c>
      <c r="M54" t="str" cm="1">
        <f t="array" ref="M54">_xlfn.IFS(
H54&lt;50,"Needs Improvement",
H54&lt;70,"Developing",
H54&lt;85,"Achieving",
H54&lt;95,"Exceeding",
TRUE,"Outstanding")</f>
        <v>Needs Improvement</v>
      </c>
      <c r="N54" s="2">
        <f t="shared" si="4"/>
        <v>0</v>
      </c>
    </row>
    <row r="55" spans="2:14" x14ac:dyDescent="0.25">
      <c r="B55" t="s">
        <v>97</v>
      </c>
      <c r="C55" t="s">
        <v>9</v>
      </c>
      <c r="D55" t="s">
        <v>98</v>
      </c>
      <c r="E55" t="s">
        <v>73</v>
      </c>
      <c r="F55" s="5">
        <v>44189</v>
      </c>
      <c r="G55" s="3">
        <v>118947</v>
      </c>
      <c r="H55" s="4">
        <v>96</v>
      </c>
      <c r="I55" t="s">
        <v>37</v>
      </c>
      <c r="J55" t="str">
        <f t="shared" si="3"/>
        <v>Emily Garcia</v>
      </c>
      <c r="K55" t="str">
        <f t="shared" si="1"/>
        <v>Human Resources</v>
      </c>
      <c r="L55" s="4">
        <f t="shared" ca="1" si="2"/>
        <v>5</v>
      </c>
      <c r="M55" t="str" cm="1">
        <f t="array" ref="M55">_xlfn.IFS(
H55&lt;50,"Needs Improvement",
H55&lt;70,"Developing",
H55&lt;85,"Achieving",
H55&lt;95,"Exceeding",
TRUE,"Outstanding")</f>
        <v>Outstanding</v>
      </c>
      <c r="N55" s="2">
        <f t="shared" si="4"/>
        <v>14273.64</v>
      </c>
    </row>
    <row r="56" spans="2:14" x14ac:dyDescent="0.25">
      <c r="B56" t="s">
        <v>99</v>
      </c>
      <c r="C56" t="s">
        <v>42</v>
      </c>
      <c r="D56" t="s">
        <v>100</v>
      </c>
      <c r="E56" t="s">
        <v>11</v>
      </c>
      <c r="F56" s="5">
        <v>45112</v>
      </c>
      <c r="G56" s="3">
        <v>83627.5</v>
      </c>
      <c r="H56" s="4">
        <v>54</v>
      </c>
      <c r="I56" t="s">
        <v>37</v>
      </c>
      <c r="J56" t="str">
        <f t="shared" si="3"/>
        <v>Jane Anderson</v>
      </c>
      <c r="K56" t="str">
        <f t="shared" si="1"/>
        <v>Information Technology</v>
      </c>
      <c r="L56" s="4">
        <f t="shared" ca="1" si="2"/>
        <v>3</v>
      </c>
      <c r="M56" t="str" cm="1">
        <f t="array" ref="M56">_xlfn.IFS(
H56&lt;50,"Needs Improvement",
H56&lt;70,"Developing",
H56&lt;85,"Achieving",
H56&lt;95,"Exceeding",
TRUE,"Outstanding")</f>
        <v>Developing</v>
      </c>
      <c r="N56" s="2">
        <f t="shared" si="4"/>
        <v>1672.55</v>
      </c>
    </row>
    <row r="57" spans="2:14" x14ac:dyDescent="0.25">
      <c r="B57" t="s">
        <v>101</v>
      </c>
      <c r="C57" t="s">
        <v>23</v>
      </c>
      <c r="D57" t="s">
        <v>98</v>
      </c>
      <c r="E57" t="s">
        <v>28</v>
      </c>
      <c r="F57" s="5">
        <v>44148</v>
      </c>
      <c r="G57" s="3">
        <v>83627.5</v>
      </c>
      <c r="H57" s="4">
        <v>75</v>
      </c>
      <c r="I57" t="s">
        <v>37</v>
      </c>
      <c r="J57" t="str">
        <f t="shared" si="3"/>
        <v>Thomas Garcia</v>
      </c>
      <c r="K57" t="str">
        <f t="shared" si="1"/>
        <v>Operations</v>
      </c>
      <c r="L57" s="4">
        <f t="shared" ca="1" si="2"/>
        <v>5</v>
      </c>
      <c r="M57" t="str" cm="1">
        <f t="array" ref="M57">_xlfn.IFS(
H57&lt;50,"Needs Improvement",
H57&lt;70,"Developing",
H57&lt;85,"Achieving",
H57&lt;95,"Exceeding",
TRUE,"Outstanding")</f>
        <v>Achieving</v>
      </c>
      <c r="N57" s="2">
        <f t="shared" si="4"/>
        <v>4181.375</v>
      </c>
    </row>
    <row r="58" spans="2:14" x14ac:dyDescent="0.25">
      <c r="B58" t="s">
        <v>102</v>
      </c>
      <c r="C58" t="s">
        <v>83</v>
      </c>
      <c r="D58" t="s">
        <v>20</v>
      </c>
      <c r="E58" t="s">
        <v>73</v>
      </c>
      <c r="F58" s="5">
        <v>43138</v>
      </c>
      <c r="G58" s="3">
        <v>91655</v>
      </c>
      <c r="H58" s="4">
        <v>95</v>
      </c>
      <c r="I58" t="s">
        <v>37</v>
      </c>
      <c r="J58" t="str">
        <f t="shared" si="3"/>
        <v>David Martinez</v>
      </c>
      <c r="K58" t="str">
        <f t="shared" si="1"/>
        <v>Human Resources</v>
      </c>
      <c r="L58" s="4">
        <f t="shared" ca="1" si="2"/>
        <v>8</v>
      </c>
      <c r="M58" t="str" cm="1">
        <f t="array" ref="M58">_xlfn.IFS(
H58&lt;50,"Needs Improvement",
H58&lt;70,"Developing",
H58&lt;85,"Achieving",
H58&lt;95,"Exceeding",
TRUE,"Outstanding")</f>
        <v>Outstanding</v>
      </c>
      <c r="N58" s="2">
        <f t="shared" si="4"/>
        <v>10998.6</v>
      </c>
    </row>
    <row r="59" spans="2:14" x14ac:dyDescent="0.25">
      <c r="B59" t="s">
        <v>103</v>
      </c>
      <c r="C59" t="s">
        <v>9</v>
      </c>
      <c r="D59" t="s">
        <v>10</v>
      </c>
      <c r="E59" t="s">
        <v>11</v>
      </c>
      <c r="F59" s="5">
        <v>45255</v>
      </c>
      <c r="G59" s="3">
        <v>49435</v>
      </c>
      <c r="H59" s="4">
        <v>70</v>
      </c>
      <c r="I59" t="s">
        <v>25</v>
      </c>
      <c r="J59" t="str">
        <f t="shared" si="3"/>
        <v>Emily Brown</v>
      </c>
      <c r="K59" t="str">
        <f t="shared" si="1"/>
        <v>Information Technology</v>
      </c>
      <c r="L59" s="4">
        <f t="shared" ca="1" si="2"/>
        <v>2</v>
      </c>
      <c r="M59" t="str" cm="1">
        <f t="array" ref="M59">_xlfn.IFS(
H59&lt;50,"Needs Improvement",
H59&lt;70,"Developing",
H59&lt;85,"Achieving",
H59&lt;95,"Exceeding",
TRUE,"Outstanding")</f>
        <v>Achieving</v>
      </c>
      <c r="N59" s="2">
        <f t="shared" si="4"/>
        <v>2471.75</v>
      </c>
    </row>
    <row r="60" spans="2:14" x14ac:dyDescent="0.25">
      <c r="B60" t="s">
        <v>104</v>
      </c>
      <c r="C60" t="s">
        <v>9</v>
      </c>
      <c r="D60" t="s">
        <v>30</v>
      </c>
      <c r="E60" t="s">
        <v>36</v>
      </c>
      <c r="F60" s="5">
        <v>45217</v>
      </c>
      <c r="G60" s="3">
        <v>110381</v>
      </c>
      <c r="H60" s="4">
        <v>93</v>
      </c>
      <c r="I60" t="s">
        <v>37</v>
      </c>
      <c r="J60" t="str">
        <f t="shared" si="3"/>
        <v>Emily Wilson</v>
      </c>
      <c r="K60" t="str">
        <f t="shared" si="1"/>
        <v>Sales</v>
      </c>
      <c r="L60" s="4">
        <f t="shared" ca="1" si="2"/>
        <v>2</v>
      </c>
      <c r="M60" t="str" cm="1">
        <f t="array" ref="M60">_xlfn.IFS(
H60&lt;50,"Needs Improvement",
H60&lt;70,"Developing",
H60&lt;85,"Achieving",
H60&lt;95,"Exceeding",
TRUE,"Outstanding")</f>
        <v>Exceeding</v>
      </c>
      <c r="N60" s="2">
        <f t="shared" si="4"/>
        <v>8830.48</v>
      </c>
    </row>
    <row r="61" spans="2:14" x14ac:dyDescent="0.25">
      <c r="B61" t="s">
        <v>105</v>
      </c>
      <c r="C61" t="s">
        <v>35</v>
      </c>
      <c r="D61" t="s">
        <v>100</v>
      </c>
      <c r="E61" t="s">
        <v>73</v>
      </c>
      <c r="F61" s="5">
        <v>44079</v>
      </c>
      <c r="G61" s="3">
        <v>114748</v>
      </c>
      <c r="H61" s="4">
        <v>33</v>
      </c>
      <c r="I61" t="s">
        <v>37</v>
      </c>
      <c r="J61" t="str">
        <f t="shared" si="3"/>
        <v>Michael Anderson</v>
      </c>
      <c r="K61" t="str">
        <f t="shared" si="1"/>
        <v>Human Resources</v>
      </c>
      <c r="L61" s="4">
        <f t="shared" ca="1" si="2"/>
        <v>5</v>
      </c>
      <c r="M61" t="str" cm="1">
        <f t="array" ref="M61">_xlfn.IFS(
H61&lt;50,"Needs Improvement",
H61&lt;70,"Developing",
H61&lt;85,"Achieving",
H61&lt;95,"Exceeding",
TRUE,"Outstanding")</f>
        <v>Needs Improvement</v>
      </c>
      <c r="N61" s="2">
        <f t="shared" si="4"/>
        <v>0</v>
      </c>
    </row>
    <row r="62" spans="2:14" x14ac:dyDescent="0.25">
      <c r="B62" t="s">
        <v>106</v>
      </c>
      <c r="C62" t="s">
        <v>46</v>
      </c>
      <c r="D62" t="s">
        <v>27</v>
      </c>
      <c r="E62" t="s">
        <v>28</v>
      </c>
      <c r="F62" s="5">
        <v>42800</v>
      </c>
      <c r="G62" s="3">
        <v>63302</v>
      </c>
      <c r="H62" s="4">
        <v>91</v>
      </c>
      <c r="I62" t="s">
        <v>37</v>
      </c>
      <c r="J62" t="str">
        <f t="shared" si="3"/>
        <v>Robert Johnson</v>
      </c>
      <c r="K62" t="str">
        <f t="shared" si="1"/>
        <v>Operations</v>
      </c>
      <c r="L62" s="4">
        <f t="shared" ca="1" si="2"/>
        <v>9</v>
      </c>
      <c r="M62" t="str" cm="1">
        <f t="array" ref="M62">_xlfn.IFS(
H62&lt;50,"Needs Improvement",
H62&lt;70,"Developing",
H62&lt;85,"Achieving",
H62&lt;95,"Exceeding",
TRUE,"Outstanding")</f>
        <v>Exceeding</v>
      </c>
      <c r="N62" s="2">
        <f t="shared" si="4"/>
        <v>5064.16</v>
      </c>
    </row>
    <row r="63" spans="2:14" x14ac:dyDescent="0.25">
      <c r="B63" t="s">
        <v>107</v>
      </c>
      <c r="C63" t="s">
        <v>46</v>
      </c>
      <c r="D63" t="s">
        <v>39</v>
      </c>
      <c r="E63" t="s">
        <v>11</v>
      </c>
      <c r="F63" s="5">
        <v>42122</v>
      </c>
      <c r="G63" s="3">
        <v>75519</v>
      </c>
      <c r="H63" s="4">
        <v>64</v>
      </c>
      <c r="I63" t="s">
        <v>37</v>
      </c>
      <c r="J63" t="str">
        <f t="shared" si="3"/>
        <v>Robert Miller</v>
      </c>
      <c r="K63" t="str">
        <f t="shared" si="1"/>
        <v>Information Technology</v>
      </c>
      <c r="L63" s="4">
        <f t="shared" ca="1" si="2"/>
        <v>11</v>
      </c>
      <c r="M63" t="str" cm="1">
        <f t="array" ref="M63">_xlfn.IFS(
H63&lt;50,"Needs Improvement",
H63&lt;70,"Developing",
H63&lt;85,"Achieving",
H63&lt;95,"Exceeding",
TRUE,"Outstanding")</f>
        <v>Developing</v>
      </c>
      <c r="N63" s="2">
        <f t="shared" si="4"/>
        <v>1510.38</v>
      </c>
    </row>
    <row r="64" spans="2:14" x14ac:dyDescent="0.25">
      <c r="B64" t="s">
        <v>108</v>
      </c>
      <c r="C64" t="s">
        <v>42</v>
      </c>
      <c r="D64" t="s">
        <v>50</v>
      </c>
      <c r="E64" t="s">
        <v>21</v>
      </c>
      <c r="F64" s="5">
        <v>42838</v>
      </c>
      <c r="G64" s="3">
        <v>103891</v>
      </c>
      <c r="H64" s="4">
        <v>80</v>
      </c>
      <c r="I64" t="s">
        <v>37</v>
      </c>
      <c r="J64" t="str">
        <f t="shared" si="3"/>
        <v>Jane Davis</v>
      </c>
      <c r="K64" t="str">
        <f t="shared" si="1"/>
        <v>Finance</v>
      </c>
      <c r="L64" s="4">
        <f t="shared" ca="1" si="2"/>
        <v>9</v>
      </c>
      <c r="M64" t="str" cm="1">
        <f t="array" ref="M64">_xlfn.IFS(
H64&lt;50,"Needs Improvement",
H64&lt;70,"Developing",
H64&lt;85,"Achieving",
H64&lt;95,"Exceeding",
TRUE,"Outstanding")</f>
        <v>Achieving</v>
      </c>
      <c r="N64" s="2">
        <f t="shared" si="4"/>
        <v>5194.55</v>
      </c>
    </row>
    <row r="65" spans="2:14" x14ac:dyDescent="0.25">
      <c r="B65" t="s">
        <v>109</v>
      </c>
      <c r="C65" t="s">
        <v>23</v>
      </c>
      <c r="D65" t="s">
        <v>50</v>
      </c>
      <c r="E65" t="s">
        <v>28</v>
      </c>
      <c r="F65" s="5">
        <v>44827</v>
      </c>
      <c r="G65" s="3">
        <v>83627.5</v>
      </c>
      <c r="H65" s="4">
        <v>46</v>
      </c>
      <c r="I65" t="s">
        <v>25</v>
      </c>
      <c r="J65" t="str">
        <f t="shared" si="3"/>
        <v>Thomas Davis</v>
      </c>
      <c r="K65" t="str">
        <f t="shared" si="1"/>
        <v>Operations</v>
      </c>
      <c r="L65" s="4">
        <f t="shared" ca="1" si="2"/>
        <v>3</v>
      </c>
      <c r="M65" t="str" cm="1">
        <f t="array" ref="M65">_xlfn.IFS(
H65&lt;50,"Needs Improvement",
H65&lt;70,"Developing",
H65&lt;85,"Achieving",
H65&lt;95,"Exceeding",
TRUE,"Outstanding")</f>
        <v>Needs Improvement</v>
      </c>
      <c r="N65" s="2">
        <f t="shared" si="4"/>
        <v>0</v>
      </c>
    </row>
    <row r="66" spans="2:14" x14ac:dyDescent="0.25">
      <c r="B66" t="s">
        <v>110</v>
      </c>
      <c r="C66" t="s">
        <v>23</v>
      </c>
      <c r="D66" t="s">
        <v>47</v>
      </c>
      <c r="E66" t="s">
        <v>15</v>
      </c>
      <c r="F66" s="5">
        <v>42685</v>
      </c>
      <c r="G66" s="3">
        <v>50936</v>
      </c>
      <c r="H66" s="4">
        <v>99</v>
      </c>
      <c r="I66" t="s">
        <v>37</v>
      </c>
      <c r="J66" t="str">
        <f t="shared" ref="J66:J129" si="5">C66&amp;" "&amp;D66</f>
        <v>Thomas Jones</v>
      </c>
      <c r="K66" t="str">
        <f t="shared" si="1"/>
        <v>Marketing</v>
      </c>
      <c r="L66" s="4">
        <f t="shared" ca="1" si="2"/>
        <v>9</v>
      </c>
      <c r="M66" t="str" cm="1">
        <f t="array" ref="M66">_xlfn.IFS(
H66&lt;50,"Needs Improvement",
H66&lt;70,"Developing",
H66&lt;85,"Achieving",
H66&lt;95,"Exceeding",
TRUE,"Outstanding")</f>
        <v>Outstanding</v>
      </c>
      <c r="N66" s="2">
        <f t="shared" si="4"/>
        <v>6112.32</v>
      </c>
    </row>
    <row r="67" spans="2:14" x14ac:dyDescent="0.25">
      <c r="B67" t="s">
        <v>111</v>
      </c>
      <c r="C67" t="s">
        <v>35</v>
      </c>
      <c r="D67" t="s">
        <v>39</v>
      </c>
      <c r="E67" t="s">
        <v>36</v>
      </c>
      <c r="F67" s="5">
        <v>42818</v>
      </c>
      <c r="G67" s="3">
        <v>111240</v>
      </c>
      <c r="H67" s="4">
        <v>70</v>
      </c>
      <c r="I67" t="s">
        <v>37</v>
      </c>
      <c r="J67" t="str">
        <f t="shared" si="5"/>
        <v>Michael Miller</v>
      </c>
      <c r="K67" t="str">
        <f t="shared" ref="K67:K130" si="6">_xlfn.XLOOKUP(E67,$R$5:$R$10, $S$5:$S$10)</f>
        <v>Sales</v>
      </c>
      <c r="L67" s="4">
        <f t="shared" ref="L67:L130" ca="1" si="7">DATEDIF(F67,TODAY(),"Y")</f>
        <v>9</v>
      </c>
      <c r="M67" t="str" cm="1">
        <f t="array" ref="M67">_xlfn.IFS(
H67&lt;50,"Needs Improvement",
H67&lt;70,"Developing",
H67&lt;85,"Achieving",
H67&lt;95,"Exceeding",
TRUE,"Outstanding")</f>
        <v>Achieving</v>
      </c>
      <c r="N67" s="2">
        <f t="shared" si="4"/>
        <v>5562</v>
      </c>
    </row>
    <row r="68" spans="2:14" x14ac:dyDescent="0.25">
      <c r="B68" t="s">
        <v>112</v>
      </c>
      <c r="C68" t="s">
        <v>13</v>
      </c>
      <c r="D68" t="s">
        <v>17</v>
      </c>
      <c r="E68" t="s">
        <v>73</v>
      </c>
      <c r="F68" s="5">
        <v>43590</v>
      </c>
      <c r="G68" s="3">
        <v>51567</v>
      </c>
      <c r="H68" s="4">
        <v>87</v>
      </c>
      <c r="I68" t="s">
        <v>85</v>
      </c>
      <c r="J68" t="str">
        <f t="shared" si="5"/>
        <v>Richard Gonzalez</v>
      </c>
      <c r="K68" t="str">
        <f t="shared" si="6"/>
        <v>Human Resources</v>
      </c>
      <c r="L68" s="4">
        <f t="shared" ca="1" si="7"/>
        <v>7</v>
      </c>
      <c r="M68" t="str" cm="1">
        <f t="array" ref="M68">_xlfn.IFS(
H68&lt;50,"Needs Improvement",
H68&lt;70,"Developing",
H68&lt;85,"Achieving",
H68&lt;95,"Exceeding",
TRUE,"Outstanding")</f>
        <v>Exceeding</v>
      </c>
      <c r="N68" s="2">
        <f t="shared" si="4"/>
        <v>4125.3599999999997</v>
      </c>
    </row>
    <row r="69" spans="2:14" x14ac:dyDescent="0.25">
      <c r="B69" t="s">
        <v>113</v>
      </c>
      <c r="C69" t="s">
        <v>78</v>
      </c>
      <c r="D69" t="s">
        <v>43</v>
      </c>
      <c r="E69" t="s">
        <v>73</v>
      </c>
      <c r="F69" s="5">
        <v>44402</v>
      </c>
      <c r="G69" s="3">
        <v>83627.5</v>
      </c>
      <c r="H69" s="4">
        <v>36</v>
      </c>
      <c r="I69" t="s">
        <v>37</v>
      </c>
      <c r="J69" t="str">
        <f t="shared" si="5"/>
        <v>Melissa Williams</v>
      </c>
      <c r="K69" t="str">
        <f t="shared" si="6"/>
        <v>Human Resources</v>
      </c>
      <c r="L69" s="4">
        <f t="shared" ca="1" si="7"/>
        <v>4</v>
      </c>
      <c r="M69" t="str" cm="1">
        <f t="array" ref="M69">_xlfn.IFS(
H69&lt;50,"Needs Improvement",
H69&lt;70,"Developing",
H69&lt;85,"Achieving",
H69&lt;95,"Exceeding",
TRUE,"Outstanding")</f>
        <v>Needs Improvement</v>
      </c>
      <c r="N69" s="2">
        <f t="shared" si="4"/>
        <v>0</v>
      </c>
    </row>
    <row r="70" spans="2:14" x14ac:dyDescent="0.25">
      <c r="B70" t="s">
        <v>114</v>
      </c>
      <c r="C70" t="s">
        <v>46</v>
      </c>
      <c r="D70" t="s">
        <v>39</v>
      </c>
      <c r="E70" t="s">
        <v>73</v>
      </c>
      <c r="F70" s="5">
        <v>43008</v>
      </c>
      <c r="G70" s="3">
        <v>55270</v>
      </c>
      <c r="H70" s="4">
        <v>87</v>
      </c>
      <c r="I70" t="s">
        <v>37</v>
      </c>
      <c r="J70" t="str">
        <f t="shared" si="5"/>
        <v>Robert Miller</v>
      </c>
      <c r="K70" t="str">
        <f t="shared" si="6"/>
        <v>Human Resources</v>
      </c>
      <c r="L70" s="4">
        <f t="shared" ca="1" si="7"/>
        <v>8</v>
      </c>
      <c r="M70" t="str" cm="1">
        <f t="array" ref="M70">_xlfn.IFS(
H70&lt;50,"Needs Improvement",
H70&lt;70,"Developing",
H70&lt;85,"Achieving",
H70&lt;95,"Exceeding",
TRUE,"Outstanding")</f>
        <v>Exceeding</v>
      </c>
      <c r="N70" s="2">
        <f t="shared" si="4"/>
        <v>4421.6000000000004</v>
      </c>
    </row>
    <row r="71" spans="2:14" x14ac:dyDescent="0.25">
      <c r="B71" t="s">
        <v>115</v>
      </c>
      <c r="C71" t="s">
        <v>116</v>
      </c>
      <c r="D71" t="s">
        <v>98</v>
      </c>
      <c r="E71" t="s">
        <v>36</v>
      </c>
      <c r="F71" s="5">
        <v>42192</v>
      </c>
      <c r="G71" s="3">
        <v>65235</v>
      </c>
      <c r="H71" s="4">
        <v>97</v>
      </c>
      <c r="I71" t="s">
        <v>37</v>
      </c>
      <c r="J71" t="str">
        <f t="shared" si="5"/>
        <v>William Garcia</v>
      </c>
      <c r="K71" t="str">
        <f t="shared" si="6"/>
        <v>Sales</v>
      </c>
      <c r="L71" s="4">
        <f t="shared" ca="1" si="7"/>
        <v>11</v>
      </c>
      <c r="M71" t="str" cm="1">
        <f t="array" ref="M71">_xlfn.IFS(
H71&lt;50,"Needs Improvement",
H71&lt;70,"Developing",
H71&lt;85,"Achieving",
H71&lt;95,"Exceeding",
TRUE,"Outstanding")</f>
        <v>Outstanding</v>
      </c>
      <c r="N71" s="2">
        <f t="shared" si="4"/>
        <v>7828.2</v>
      </c>
    </row>
    <row r="72" spans="2:14" x14ac:dyDescent="0.25">
      <c r="B72" t="s">
        <v>117</v>
      </c>
      <c r="C72" t="s">
        <v>19</v>
      </c>
      <c r="D72" t="s">
        <v>17</v>
      </c>
      <c r="E72" t="s">
        <v>36</v>
      </c>
      <c r="F72" s="5">
        <v>43283</v>
      </c>
      <c r="G72" s="3">
        <v>83627.5</v>
      </c>
      <c r="H72" s="4">
        <v>72</v>
      </c>
      <c r="I72" t="s">
        <v>25</v>
      </c>
      <c r="J72" t="str">
        <f t="shared" si="5"/>
        <v>John Gonzalez</v>
      </c>
      <c r="K72" t="str">
        <f t="shared" si="6"/>
        <v>Sales</v>
      </c>
      <c r="L72" s="4">
        <f t="shared" ca="1" si="7"/>
        <v>8</v>
      </c>
      <c r="M72" t="str" cm="1">
        <f t="array" ref="M72">_xlfn.IFS(
H72&lt;50,"Needs Improvement",
H72&lt;70,"Developing",
H72&lt;85,"Achieving",
H72&lt;95,"Exceeding",
TRUE,"Outstanding")</f>
        <v>Achieving</v>
      </c>
      <c r="N72" s="2">
        <f t="shared" si="4"/>
        <v>4181.375</v>
      </c>
    </row>
    <row r="73" spans="2:14" x14ac:dyDescent="0.25">
      <c r="B73" t="s">
        <v>118</v>
      </c>
      <c r="C73" t="s">
        <v>52</v>
      </c>
      <c r="D73" t="s">
        <v>17</v>
      </c>
      <c r="E73" t="s">
        <v>36</v>
      </c>
      <c r="F73" s="5">
        <v>44819</v>
      </c>
      <c r="G73" s="3">
        <v>83627.5</v>
      </c>
      <c r="H73" s="4">
        <v>65</v>
      </c>
      <c r="I73" t="s">
        <v>25</v>
      </c>
      <c r="J73" t="str">
        <f t="shared" si="5"/>
        <v>James Gonzalez</v>
      </c>
      <c r="K73" t="str">
        <f t="shared" si="6"/>
        <v>Sales</v>
      </c>
      <c r="L73" s="4">
        <f t="shared" ca="1" si="7"/>
        <v>3</v>
      </c>
      <c r="M73" t="str" cm="1">
        <f t="array" ref="M73">_xlfn.IFS(
H73&lt;50,"Needs Improvement",
H73&lt;70,"Developing",
H73&lt;85,"Achieving",
H73&lt;95,"Exceeding",
TRUE,"Outstanding")</f>
        <v>Developing</v>
      </c>
      <c r="N73" s="2">
        <f t="shared" si="4"/>
        <v>1672.55</v>
      </c>
    </row>
    <row r="74" spans="2:14" x14ac:dyDescent="0.25">
      <c r="B74" t="s">
        <v>119</v>
      </c>
      <c r="C74" t="s">
        <v>42</v>
      </c>
      <c r="D74" t="s">
        <v>17</v>
      </c>
      <c r="E74" t="s">
        <v>36</v>
      </c>
      <c r="F74" s="5">
        <v>42249</v>
      </c>
      <c r="G74" s="3">
        <v>83627.5</v>
      </c>
      <c r="H74" s="4">
        <v>67</v>
      </c>
      <c r="I74" t="s">
        <v>37</v>
      </c>
      <c r="J74" t="str">
        <f t="shared" si="5"/>
        <v>Jane Gonzalez</v>
      </c>
      <c r="K74" t="str">
        <f t="shared" si="6"/>
        <v>Sales</v>
      </c>
      <c r="L74" s="4">
        <f t="shared" ca="1" si="7"/>
        <v>10</v>
      </c>
      <c r="M74" t="str" cm="1">
        <f t="array" ref="M74">_xlfn.IFS(
H74&lt;50,"Needs Improvement",
H74&lt;70,"Developing",
H74&lt;85,"Achieving",
H74&lt;95,"Exceeding",
TRUE,"Outstanding")</f>
        <v>Developing</v>
      </c>
      <c r="N74" s="2">
        <f t="shared" si="4"/>
        <v>1672.55</v>
      </c>
    </row>
    <row r="75" spans="2:14" x14ac:dyDescent="0.25">
      <c r="B75" t="s">
        <v>120</v>
      </c>
      <c r="C75" t="s">
        <v>83</v>
      </c>
      <c r="D75" t="s">
        <v>30</v>
      </c>
      <c r="E75" t="s">
        <v>28</v>
      </c>
      <c r="F75" s="5">
        <v>42654</v>
      </c>
      <c r="G75" s="3">
        <v>48823</v>
      </c>
      <c r="H75" s="4">
        <v>34</v>
      </c>
      <c r="I75" t="s">
        <v>37</v>
      </c>
      <c r="J75" t="str">
        <f t="shared" si="5"/>
        <v>David Wilson</v>
      </c>
      <c r="K75" t="str">
        <f t="shared" si="6"/>
        <v>Operations</v>
      </c>
      <c r="L75" s="4">
        <f t="shared" ca="1" si="7"/>
        <v>9</v>
      </c>
      <c r="M75" t="str" cm="1">
        <f t="array" ref="M75">_xlfn.IFS(
H75&lt;50,"Needs Improvement",
H75&lt;70,"Developing",
H75&lt;85,"Achieving",
H75&lt;95,"Exceeding",
TRUE,"Outstanding")</f>
        <v>Needs Improvement</v>
      </c>
      <c r="N75" s="2">
        <f t="shared" si="4"/>
        <v>0</v>
      </c>
    </row>
    <row r="76" spans="2:14" x14ac:dyDescent="0.25">
      <c r="B76" t="s">
        <v>121</v>
      </c>
      <c r="C76" t="s">
        <v>42</v>
      </c>
      <c r="D76" t="s">
        <v>17</v>
      </c>
      <c r="E76" t="s">
        <v>21</v>
      </c>
      <c r="F76" s="5">
        <v>43575</v>
      </c>
      <c r="G76" s="3">
        <v>45196</v>
      </c>
      <c r="H76" s="4">
        <v>78</v>
      </c>
      <c r="I76" t="s">
        <v>25</v>
      </c>
      <c r="J76" t="str">
        <f t="shared" si="5"/>
        <v>Jane Gonzalez</v>
      </c>
      <c r="K76" t="str">
        <f t="shared" si="6"/>
        <v>Finance</v>
      </c>
      <c r="L76" s="4">
        <f t="shared" ca="1" si="7"/>
        <v>7</v>
      </c>
      <c r="M76" t="str" cm="1">
        <f t="array" ref="M76">_xlfn.IFS(
H76&lt;50,"Needs Improvement",
H76&lt;70,"Developing",
H76&lt;85,"Achieving",
H76&lt;95,"Exceeding",
TRUE,"Outstanding")</f>
        <v>Achieving</v>
      </c>
      <c r="N76" s="2">
        <f t="shared" si="4"/>
        <v>2259.8000000000002</v>
      </c>
    </row>
    <row r="77" spans="2:14" x14ac:dyDescent="0.25">
      <c r="B77" t="s">
        <v>122</v>
      </c>
      <c r="C77" t="s">
        <v>42</v>
      </c>
      <c r="D77" t="s">
        <v>33</v>
      </c>
      <c r="E77" t="s">
        <v>11</v>
      </c>
      <c r="F77" s="5">
        <v>42785</v>
      </c>
      <c r="G77" s="3">
        <v>86246</v>
      </c>
      <c r="H77" s="4">
        <v>61</v>
      </c>
      <c r="I77" t="s">
        <v>37</v>
      </c>
      <c r="J77" t="str">
        <f t="shared" si="5"/>
        <v>Jane Rodriguez</v>
      </c>
      <c r="K77" t="str">
        <f t="shared" si="6"/>
        <v>Information Technology</v>
      </c>
      <c r="L77" s="4">
        <f t="shared" ca="1" si="7"/>
        <v>9</v>
      </c>
      <c r="M77" t="str" cm="1">
        <f t="array" ref="M77">_xlfn.IFS(
H77&lt;50,"Needs Improvement",
H77&lt;70,"Developing",
H77&lt;85,"Achieving",
H77&lt;95,"Exceeding",
TRUE,"Outstanding")</f>
        <v>Developing</v>
      </c>
      <c r="N77" s="2">
        <f t="shared" si="4"/>
        <v>1724.92</v>
      </c>
    </row>
    <row r="78" spans="2:14" x14ac:dyDescent="0.25">
      <c r="B78" t="s">
        <v>123</v>
      </c>
      <c r="C78" t="s">
        <v>9</v>
      </c>
      <c r="D78" t="s">
        <v>39</v>
      </c>
      <c r="E78" t="s">
        <v>36</v>
      </c>
      <c r="F78" s="5">
        <v>44446</v>
      </c>
      <c r="G78" s="3">
        <v>70359</v>
      </c>
      <c r="H78" s="4">
        <v>74</v>
      </c>
      <c r="I78" t="s">
        <v>25</v>
      </c>
      <c r="J78" t="str">
        <f t="shared" si="5"/>
        <v>Emily Miller</v>
      </c>
      <c r="K78" t="str">
        <f t="shared" si="6"/>
        <v>Sales</v>
      </c>
      <c r="L78" s="4">
        <f t="shared" ca="1" si="7"/>
        <v>4</v>
      </c>
      <c r="M78" t="str" cm="1">
        <f t="array" ref="M78">_xlfn.IFS(
H78&lt;50,"Needs Improvement",
H78&lt;70,"Developing",
H78&lt;85,"Achieving",
H78&lt;95,"Exceeding",
TRUE,"Outstanding")</f>
        <v>Achieving</v>
      </c>
      <c r="N78" s="2">
        <f t="shared" si="4"/>
        <v>3517.9500000000003</v>
      </c>
    </row>
    <row r="79" spans="2:14" x14ac:dyDescent="0.25">
      <c r="B79" t="s">
        <v>124</v>
      </c>
      <c r="C79" t="s">
        <v>71</v>
      </c>
      <c r="D79" t="s">
        <v>39</v>
      </c>
      <c r="E79" t="s">
        <v>15</v>
      </c>
      <c r="F79" s="5">
        <v>43599</v>
      </c>
      <c r="G79" s="3">
        <v>83627.5</v>
      </c>
      <c r="H79" s="4">
        <v>94</v>
      </c>
      <c r="I79" t="s">
        <v>37</v>
      </c>
      <c r="J79" t="str">
        <f t="shared" si="5"/>
        <v>Sarah Miller</v>
      </c>
      <c r="K79" t="str">
        <f t="shared" si="6"/>
        <v>Marketing</v>
      </c>
      <c r="L79" s="4">
        <f t="shared" ca="1" si="7"/>
        <v>7</v>
      </c>
      <c r="M79" t="str" cm="1">
        <f t="array" ref="M79">_xlfn.IFS(
H79&lt;50,"Needs Improvement",
H79&lt;70,"Developing",
H79&lt;85,"Achieving",
H79&lt;95,"Exceeding",
TRUE,"Outstanding")</f>
        <v>Exceeding</v>
      </c>
      <c r="N79" s="2">
        <f t="shared" si="4"/>
        <v>6690.2</v>
      </c>
    </row>
    <row r="80" spans="2:14" x14ac:dyDescent="0.25">
      <c r="B80" t="s">
        <v>125</v>
      </c>
      <c r="C80" t="s">
        <v>32</v>
      </c>
      <c r="D80" t="s">
        <v>98</v>
      </c>
      <c r="E80" t="s">
        <v>28</v>
      </c>
      <c r="F80" s="5">
        <v>42330</v>
      </c>
      <c r="G80" s="3">
        <v>86480</v>
      </c>
      <c r="H80" s="4">
        <v>70</v>
      </c>
      <c r="I80" t="s">
        <v>37</v>
      </c>
      <c r="J80" t="str">
        <f t="shared" si="5"/>
        <v>Jessica Garcia</v>
      </c>
      <c r="K80" t="str">
        <f t="shared" si="6"/>
        <v>Operations</v>
      </c>
      <c r="L80" s="4">
        <f t="shared" ca="1" si="7"/>
        <v>10</v>
      </c>
      <c r="M80" t="str" cm="1">
        <f t="array" ref="M80">_xlfn.IFS(
H80&lt;50,"Needs Improvement",
H80&lt;70,"Developing",
H80&lt;85,"Achieving",
H80&lt;95,"Exceeding",
TRUE,"Outstanding")</f>
        <v>Achieving</v>
      </c>
      <c r="N80" s="2">
        <f t="shared" si="4"/>
        <v>4324</v>
      </c>
    </row>
    <row r="81" spans="2:14" x14ac:dyDescent="0.25">
      <c r="B81" t="s">
        <v>126</v>
      </c>
      <c r="C81" t="s">
        <v>13</v>
      </c>
      <c r="D81" t="s">
        <v>24</v>
      </c>
      <c r="E81" t="s">
        <v>73</v>
      </c>
      <c r="F81" s="5">
        <v>43372</v>
      </c>
      <c r="G81" s="3">
        <v>47694</v>
      </c>
      <c r="H81" s="4">
        <v>75</v>
      </c>
      <c r="I81" t="s">
        <v>37</v>
      </c>
      <c r="J81" t="str">
        <f t="shared" si="5"/>
        <v>Richard Smith</v>
      </c>
      <c r="K81" t="str">
        <f t="shared" si="6"/>
        <v>Human Resources</v>
      </c>
      <c r="L81" s="4">
        <f t="shared" ca="1" si="7"/>
        <v>7</v>
      </c>
      <c r="M81" t="str" cm="1">
        <f t="array" ref="M81">_xlfn.IFS(
H81&lt;50,"Needs Improvement",
H81&lt;70,"Developing",
H81&lt;85,"Achieving",
H81&lt;95,"Exceeding",
TRUE,"Outstanding")</f>
        <v>Achieving</v>
      </c>
      <c r="N81" s="2">
        <f t="shared" si="4"/>
        <v>2384.7000000000003</v>
      </c>
    </row>
    <row r="82" spans="2:14" x14ac:dyDescent="0.25">
      <c r="B82" t="s">
        <v>127</v>
      </c>
      <c r="C82" t="s">
        <v>78</v>
      </c>
      <c r="D82" t="s">
        <v>30</v>
      </c>
      <c r="E82" t="s">
        <v>11</v>
      </c>
      <c r="F82" s="5">
        <v>45171</v>
      </c>
      <c r="G82" s="3">
        <v>83724</v>
      </c>
      <c r="H82" s="4">
        <v>81</v>
      </c>
      <c r="I82" t="s">
        <v>85</v>
      </c>
      <c r="J82" t="str">
        <f t="shared" si="5"/>
        <v>Melissa Wilson</v>
      </c>
      <c r="K82" t="str">
        <f t="shared" si="6"/>
        <v>Information Technology</v>
      </c>
      <c r="L82" s="4">
        <f t="shared" ca="1" si="7"/>
        <v>2</v>
      </c>
      <c r="M82" t="str" cm="1">
        <f t="array" ref="M82">_xlfn.IFS(
H82&lt;50,"Needs Improvement",
H82&lt;70,"Developing",
H82&lt;85,"Achieving",
H82&lt;95,"Exceeding",
TRUE,"Outstanding")</f>
        <v>Achieving</v>
      </c>
      <c r="N82" s="2">
        <f t="shared" si="4"/>
        <v>4186.2</v>
      </c>
    </row>
    <row r="83" spans="2:14" x14ac:dyDescent="0.25">
      <c r="B83" t="s">
        <v>128</v>
      </c>
      <c r="C83" t="s">
        <v>23</v>
      </c>
      <c r="D83" t="s">
        <v>43</v>
      </c>
      <c r="E83" t="s">
        <v>21</v>
      </c>
      <c r="F83" s="5">
        <v>44759</v>
      </c>
      <c r="G83" s="3">
        <v>98299</v>
      </c>
      <c r="H83" s="4">
        <v>61</v>
      </c>
      <c r="I83" t="s">
        <v>37</v>
      </c>
      <c r="J83" t="str">
        <f t="shared" si="5"/>
        <v>Thomas Williams</v>
      </c>
      <c r="K83" t="str">
        <f t="shared" si="6"/>
        <v>Finance</v>
      </c>
      <c r="L83" s="4">
        <f t="shared" ca="1" si="7"/>
        <v>3</v>
      </c>
      <c r="M83" t="str" cm="1">
        <f t="array" ref="M83">_xlfn.IFS(
H83&lt;50,"Needs Improvement",
H83&lt;70,"Developing",
H83&lt;85,"Achieving",
H83&lt;95,"Exceeding",
TRUE,"Outstanding")</f>
        <v>Developing</v>
      </c>
      <c r="N83" s="2">
        <f t="shared" si="4"/>
        <v>1965.98</v>
      </c>
    </row>
    <row r="84" spans="2:14" x14ac:dyDescent="0.25">
      <c r="B84" t="s">
        <v>129</v>
      </c>
      <c r="C84" t="s">
        <v>83</v>
      </c>
      <c r="D84" t="s">
        <v>43</v>
      </c>
      <c r="E84" t="s">
        <v>21</v>
      </c>
      <c r="F84" s="5">
        <v>44234</v>
      </c>
      <c r="G84" s="3">
        <v>83627.5</v>
      </c>
      <c r="H84" s="4">
        <v>68</v>
      </c>
      <c r="I84" t="s">
        <v>37</v>
      </c>
      <c r="J84" t="str">
        <f t="shared" si="5"/>
        <v>David Williams</v>
      </c>
      <c r="K84" t="str">
        <f t="shared" si="6"/>
        <v>Finance</v>
      </c>
      <c r="L84" s="4">
        <f t="shared" ca="1" si="7"/>
        <v>5</v>
      </c>
      <c r="M84" t="str" cm="1">
        <f t="array" ref="M84">_xlfn.IFS(
H84&lt;50,"Needs Improvement",
H84&lt;70,"Developing",
H84&lt;85,"Achieving",
H84&lt;95,"Exceeding",
TRUE,"Outstanding")</f>
        <v>Developing</v>
      </c>
      <c r="N84" s="2">
        <f t="shared" ref="N84:N147" si="8">IF(M84="Needs Improvement",0,
IF(M84="Developing",G84*2%,
IF(M84="Achieving",G84*5%,
IF(M84="Exceeding",G84*8%,G84*12%))))</f>
        <v>1672.55</v>
      </c>
    </row>
    <row r="85" spans="2:14" x14ac:dyDescent="0.25">
      <c r="B85" t="s">
        <v>130</v>
      </c>
      <c r="C85" t="s">
        <v>19</v>
      </c>
      <c r="D85" t="s">
        <v>27</v>
      </c>
      <c r="E85" t="s">
        <v>11</v>
      </c>
      <c r="F85" s="5">
        <v>45203</v>
      </c>
      <c r="G85" s="3">
        <v>52287</v>
      </c>
      <c r="H85" s="4">
        <v>70</v>
      </c>
      <c r="I85" t="s">
        <v>37</v>
      </c>
      <c r="J85" t="str">
        <f t="shared" si="5"/>
        <v>John Johnson</v>
      </c>
      <c r="K85" t="str">
        <f t="shared" si="6"/>
        <v>Information Technology</v>
      </c>
      <c r="L85" s="4">
        <f t="shared" ca="1" si="7"/>
        <v>2</v>
      </c>
      <c r="M85" t="str" cm="1">
        <f t="array" ref="M85">_xlfn.IFS(
H85&lt;50,"Needs Improvement",
H85&lt;70,"Developing",
H85&lt;85,"Achieving",
H85&lt;95,"Exceeding",
TRUE,"Outstanding")</f>
        <v>Achieving</v>
      </c>
      <c r="N85" s="2">
        <f t="shared" si="8"/>
        <v>2614.3500000000004</v>
      </c>
    </row>
    <row r="86" spans="2:14" x14ac:dyDescent="0.25">
      <c r="B86" t="s">
        <v>131</v>
      </c>
      <c r="C86" t="s">
        <v>13</v>
      </c>
      <c r="D86" t="s">
        <v>17</v>
      </c>
      <c r="E86" t="s">
        <v>11</v>
      </c>
      <c r="F86" s="5">
        <v>44073</v>
      </c>
      <c r="G86" s="3">
        <v>82633</v>
      </c>
      <c r="H86" s="4">
        <v>98</v>
      </c>
      <c r="I86" t="s">
        <v>37</v>
      </c>
      <c r="J86" t="str">
        <f t="shared" si="5"/>
        <v>Richard Gonzalez</v>
      </c>
      <c r="K86" t="str">
        <f t="shared" si="6"/>
        <v>Information Technology</v>
      </c>
      <c r="L86" s="4">
        <f t="shared" ca="1" si="7"/>
        <v>5</v>
      </c>
      <c r="M86" t="str" cm="1">
        <f t="array" ref="M86">_xlfn.IFS(
H86&lt;50,"Needs Improvement",
H86&lt;70,"Developing",
H86&lt;85,"Achieving",
H86&lt;95,"Exceeding",
TRUE,"Outstanding")</f>
        <v>Outstanding</v>
      </c>
      <c r="N86" s="2">
        <f t="shared" si="8"/>
        <v>9915.9599999999991</v>
      </c>
    </row>
    <row r="87" spans="2:14" x14ac:dyDescent="0.25">
      <c r="B87" t="s">
        <v>132</v>
      </c>
      <c r="C87" t="s">
        <v>78</v>
      </c>
      <c r="D87" t="s">
        <v>100</v>
      </c>
      <c r="E87" t="s">
        <v>28</v>
      </c>
      <c r="F87" s="5">
        <v>44422</v>
      </c>
      <c r="G87" s="3">
        <v>46508</v>
      </c>
      <c r="H87" s="4">
        <v>34</v>
      </c>
      <c r="I87" t="s">
        <v>37</v>
      </c>
      <c r="J87" t="str">
        <f t="shared" si="5"/>
        <v>Melissa Anderson</v>
      </c>
      <c r="K87" t="str">
        <f t="shared" si="6"/>
        <v>Operations</v>
      </c>
      <c r="L87" s="4">
        <f t="shared" ca="1" si="7"/>
        <v>4</v>
      </c>
      <c r="M87" t="str" cm="1">
        <f t="array" ref="M87">_xlfn.IFS(
H87&lt;50,"Needs Improvement",
H87&lt;70,"Developing",
H87&lt;85,"Achieving",
H87&lt;95,"Exceeding",
TRUE,"Outstanding")</f>
        <v>Needs Improvement</v>
      </c>
      <c r="N87" s="2">
        <f t="shared" si="8"/>
        <v>0</v>
      </c>
    </row>
    <row r="88" spans="2:14" x14ac:dyDescent="0.25">
      <c r="B88" t="s">
        <v>133</v>
      </c>
      <c r="C88" t="s">
        <v>9</v>
      </c>
      <c r="D88" t="s">
        <v>17</v>
      </c>
      <c r="E88" t="s">
        <v>73</v>
      </c>
      <c r="F88" s="5">
        <v>43796</v>
      </c>
      <c r="G88" s="3">
        <v>86232</v>
      </c>
      <c r="H88" s="4">
        <v>93</v>
      </c>
      <c r="I88" t="s">
        <v>37</v>
      </c>
      <c r="J88" t="str">
        <f t="shared" si="5"/>
        <v>Emily Gonzalez</v>
      </c>
      <c r="K88" t="str">
        <f t="shared" si="6"/>
        <v>Human Resources</v>
      </c>
      <c r="L88" s="4">
        <f t="shared" ca="1" si="7"/>
        <v>6</v>
      </c>
      <c r="M88" t="str" cm="1">
        <f t="array" ref="M88">_xlfn.IFS(
H88&lt;50,"Needs Improvement",
H88&lt;70,"Developing",
H88&lt;85,"Achieving",
H88&lt;95,"Exceeding",
TRUE,"Outstanding")</f>
        <v>Exceeding</v>
      </c>
      <c r="N88" s="2">
        <f t="shared" si="8"/>
        <v>6898.56</v>
      </c>
    </row>
    <row r="89" spans="2:14" x14ac:dyDescent="0.25">
      <c r="B89" t="s">
        <v>134</v>
      </c>
      <c r="C89" t="s">
        <v>42</v>
      </c>
      <c r="D89" t="s">
        <v>50</v>
      </c>
      <c r="E89" t="s">
        <v>11</v>
      </c>
      <c r="F89" s="5">
        <v>42880</v>
      </c>
      <c r="G89" s="3">
        <v>77545</v>
      </c>
      <c r="H89" s="4">
        <v>48</v>
      </c>
      <c r="I89" t="s">
        <v>37</v>
      </c>
      <c r="J89" t="str">
        <f t="shared" si="5"/>
        <v>Jane Davis</v>
      </c>
      <c r="K89" t="str">
        <f t="shared" si="6"/>
        <v>Information Technology</v>
      </c>
      <c r="L89" s="4">
        <f t="shared" ca="1" si="7"/>
        <v>9</v>
      </c>
      <c r="M89" t="str" cm="1">
        <f t="array" ref="M89">_xlfn.IFS(
H89&lt;50,"Needs Improvement",
H89&lt;70,"Developing",
H89&lt;85,"Achieving",
H89&lt;95,"Exceeding",
TRUE,"Outstanding")</f>
        <v>Needs Improvement</v>
      </c>
      <c r="N89" s="2">
        <f t="shared" si="8"/>
        <v>0</v>
      </c>
    </row>
    <row r="90" spans="2:14" x14ac:dyDescent="0.25">
      <c r="B90" t="s">
        <v>135</v>
      </c>
      <c r="C90" t="s">
        <v>116</v>
      </c>
      <c r="D90" t="s">
        <v>17</v>
      </c>
      <c r="E90" t="s">
        <v>28</v>
      </c>
      <c r="F90" s="5">
        <v>43436</v>
      </c>
      <c r="G90" s="3">
        <v>68683</v>
      </c>
      <c r="H90" s="4">
        <v>90</v>
      </c>
      <c r="I90" t="s">
        <v>37</v>
      </c>
      <c r="J90" t="str">
        <f t="shared" si="5"/>
        <v>William Gonzalez</v>
      </c>
      <c r="K90" t="str">
        <f t="shared" si="6"/>
        <v>Operations</v>
      </c>
      <c r="L90" s="4">
        <f t="shared" ca="1" si="7"/>
        <v>7</v>
      </c>
      <c r="M90" t="str" cm="1">
        <f t="array" ref="M90">_xlfn.IFS(
H90&lt;50,"Needs Improvement",
H90&lt;70,"Developing",
H90&lt;85,"Achieving",
H90&lt;95,"Exceeding",
TRUE,"Outstanding")</f>
        <v>Exceeding</v>
      </c>
      <c r="N90" s="2">
        <f t="shared" si="8"/>
        <v>5494.64</v>
      </c>
    </row>
    <row r="91" spans="2:14" x14ac:dyDescent="0.25">
      <c r="B91" t="s">
        <v>136</v>
      </c>
      <c r="C91" t="s">
        <v>23</v>
      </c>
      <c r="D91" t="s">
        <v>47</v>
      </c>
      <c r="E91" t="s">
        <v>21</v>
      </c>
      <c r="F91" s="5">
        <v>43639</v>
      </c>
      <c r="G91" s="3">
        <v>83932</v>
      </c>
      <c r="H91" s="4">
        <v>57</v>
      </c>
      <c r="I91" t="s">
        <v>25</v>
      </c>
      <c r="J91" t="str">
        <f t="shared" si="5"/>
        <v>Thomas Jones</v>
      </c>
      <c r="K91" t="str">
        <f t="shared" si="6"/>
        <v>Finance</v>
      </c>
      <c r="L91" s="4">
        <f t="shared" ca="1" si="7"/>
        <v>7</v>
      </c>
      <c r="M91" t="str" cm="1">
        <f t="array" ref="M91">_xlfn.IFS(
H91&lt;50,"Needs Improvement",
H91&lt;70,"Developing",
H91&lt;85,"Achieving",
H91&lt;95,"Exceeding",
TRUE,"Outstanding")</f>
        <v>Developing</v>
      </c>
      <c r="N91" s="2">
        <f t="shared" si="8"/>
        <v>1678.64</v>
      </c>
    </row>
    <row r="92" spans="2:14" x14ac:dyDescent="0.25">
      <c r="B92" t="s">
        <v>137</v>
      </c>
      <c r="C92" t="s">
        <v>32</v>
      </c>
      <c r="D92" t="s">
        <v>100</v>
      </c>
      <c r="E92" t="s">
        <v>73</v>
      </c>
      <c r="F92" s="5">
        <v>42304</v>
      </c>
      <c r="G92" s="3">
        <v>56073</v>
      </c>
      <c r="H92" s="4">
        <v>79</v>
      </c>
      <c r="I92" t="s">
        <v>37</v>
      </c>
      <c r="J92" t="str">
        <f t="shared" si="5"/>
        <v>Jessica Anderson</v>
      </c>
      <c r="K92" t="str">
        <f t="shared" si="6"/>
        <v>Human Resources</v>
      </c>
      <c r="L92" s="4">
        <f t="shared" ca="1" si="7"/>
        <v>10</v>
      </c>
      <c r="M92" t="str" cm="1">
        <f t="array" ref="M92">_xlfn.IFS(
H92&lt;50,"Needs Improvement",
H92&lt;70,"Developing",
H92&lt;85,"Achieving",
H92&lt;95,"Exceeding",
TRUE,"Outstanding")</f>
        <v>Achieving</v>
      </c>
      <c r="N92" s="2">
        <f t="shared" si="8"/>
        <v>2803.65</v>
      </c>
    </row>
    <row r="93" spans="2:14" x14ac:dyDescent="0.25">
      <c r="B93" t="s">
        <v>138</v>
      </c>
      <c r="C93" t="s">
        <v>78</v>
      </c>
      <c r="D93" t="s">
        <v>27</v>
      </c>
      <c r="E93" t="s">
        <v>11</v>
      </c>
      <c r="F93" s="5">
        <v>43270</v>
      </c>
      <c r="G93" s="3">
        <v>88056</v>
      </c>
      <c r="H93" s="4">
        <v>66</v>
      </c>
      <c r="I93" t="s">
        <v>37</v>
      </c>
      <c r="J93" t="str">
        <f t="shared" si="5"/>
        <v>Melissa Johnson</v>
      </c>
      <c r="K93" t="str">
        <f t="shared" si="6"/>
        <v>Information Technology</v>
      </c>
      <c r="L93" s="4">
        <f t="shared" ca="1" si="7"/>
        <v>8</v>
      </c>
      <c r="M93" t="str" cm="1">
        <f t="array" ref="M93">_xlfn.IFS(
H93&lt;50,"Needs Improvement",
H93&lt;70,"Developing",
H93&lt;85,"Achieving",
H93&lt;95,"Exceeding",
TRUE,"Outstanding")</f>
        <v>Developing</v>
      </c>
      <c r="N93" s="2">
        <f t="shared" si="8"/>
        <v>1761.1200000000001</v>
      </c>
    </row>
    <row r="94" spans="2:14" x14ac:dyDescent="0.25">
      <c r="B94" t="s">
        <v>139</v>
      </c>
      <c r="C94" t="s">
        <v>23</v>
      </c>
      <c r="D94" t="s">
        <v>39</v>
      </c>
      <c r="E94" t="s">
        <v>28</v>
      </c>
      <c r="F94" s="5">
        <v>43112</v>
      </c>
      <c r="G94" s="3">
        <v>67414</v>
      </c>
      <c r="H94" s="4">
        <v>84</v>
      </c>
      <c r="I94" t="s">
        <v>25</v>
      </c>
      <c r="J94" t="str">
        <f t="shared" si="5"/>
        <v>Thomas Miller</v>
      </c>
      <c r="K94" t="str">
        <f t="shared" si="6"/>
        <v>Operations</v>
      </c>
      <c r="L94" s="4">
        <f t="shared" ca="1" si="7"/>
        <v>8</v>
      </c>
      <c r="M94" t="str" cm="1">
        <f t="array" ref="M94">_xlfn.IFS(
H94&lt;50,"Needs Improvement",
H94&lt;70,"Developing",
H94&lt;85,"Achieving",
H94&lt;95,"Exceeding",
TRUE,"Outstanding")</f>
        <v>Achieving</v>
      </c>
      <c r="N94" s="2">
        <f t="shared" si="8"/>
        <v>3370.7000000000003</v>
      </c>
    </row>
    <row r="95" spans="2:14" x14ac:dyDescent="0.25">
      <c r="B95" t="s">
        <v>140</v>
      </c>
      <c r="C95" t="s">
        <v>116</v>
      </c>
      <c r="D95" t="s">
        <v>17</v>
      </c>
      <c r="E95" t="s">
        <v>36</v>
      </c>
      <c r="F95" s="5">
        <v>42008</v>
      </c>
      <c r="G95" s="3">
        <v>115288</v>
      </c>
      <c r="H95" s="4">
        <v>61</v>
      </c>
      <c r="I95" t="s">
        <v>37</v>
      </c>
      <c r="J95" t="str">
        <f t="shared" si="5"/>
        <v>William Gonzalez</v>
      </c>
      <c r="K95" t="str">
        <f t="shared" si="6"/>
        <v>Sales</v>
      </c>
      <c r="L95" s="4">
        <f t="shared" ca="1" si="7"/>
        <v>11</v>
      </c>
      <c r="M95" t="str" cm="1">
        <f t="array" ref="M95">_xlfn.IFS(
H95&lt;50,"Needs Improvement",
H95&lt;70,"Developing",
H95&lt;85,"Achieving",
H95&lt;95,"Exceeding",
TRUE,"Outstanding")</f>
        <v>Developing</v>
      </c>
      <c r="N95" s="2">
        <f t="shared" si="8"/>
        <v>2305.7600000000002</v>
      </c>
    </row>
    <row r="96" spans="2:14" x14ac:dyDescent="0.25">
      <c r="B96" t="s">
        <v>141</v>
      </c>
      <c r="D96" t="s">
        <v>24</v>
      </c>
      <c r="E96" t="s">
        <v>36</v>
      </c>
      <c r="F96" s="5">
        <v>43439</v>
      </c>
      <c r="G96" s="3">
        <v>80140</v>
      </c>
      <c r="H96" s="4">
        <v>58</v>
      </c>
      <c r="I96" t="s">
        <v>37</v>
      </c>
      <c r="J96" t="str">
        <f t="shared" si="5"/>
        <v xml:space="preserve"> Smith</v>
      </c>
      <c r="K96" t="str">
        <f t="shared" si="6"/>
        <v>Sales</v>
      </c>
      <c r="L96" s="4">
        <f t="shared" ca="1" si="7"/>
        <v>7</v>
      </c>
      <c r="M96" t="str" cm="1">
        <f t="array" ref="M96">_xlfn.IFS(
H96&lt;50,"Needs Improvement",
H96&lt;70,"Developing",
H96&lt;85,"Achieving",
H96&lt;95,"Exceeding",
TRUE,"Outstanding")</f>
        <v>Developing</v>
      </c>
      <c r="N96" s="2">
        <f t="shared" si="8"/>
        <v>1602.8</v>
      </c>
    </row>
    <row r="97" spans="2:14" x14ac:dyDescent="0.25">
      <c r="B97" t="s">
        <v>142</v>
      </c>
      <c r="C97" t="s">
        <v>19</v>
      </c>
      <c r="D97" t="s">
        <v>27</v>
      </c>
      <c r="E97" t="s">
        <v>11</v>
      </c>
      <c r="F97" s="5">
        <v>44482</v>
      </c>
      <c r="G97" s="3">
        <v>73087</v>
      </c>
      <c r="H97" s="4">
        <v>69</v>
      </c>
      <c r="I97" t="s">
        <v>37</v>
      </c>
      <c r="J97" t="str">
        <f t="shared" si="5"/>
        <v>John Johnson</v>
      </c>
      <c r="K97" t="str">
        <f t="shared" si="6"/>
        <v>Information Technology</v>
      </c>
      <c r="L97" s="4">
        <f t="shared" ca="1" si="7"/>
        <v>4</v>
      </c>
      <c r="M97" t="str" cm="1">
        <f t="array" ref="M97">_xlfn.IFS(
H97&lt;50,"Needs Improvement",
H97&lt;70,"Developing",
H97&lt;85,"Achieving",
H97&lt;95,"Exceeding",
TRUE,"Outstanding")</f>
        <v>Developing</v>
      </c>
      <c r="N97" s="2">
        <f t="shared" si="8"/>
        <v>1461.74</v>
      </c>
    </row>
    <row r="98" spans="2:14" x14ac:dyDescent="0.25">
      <c r="B98" t="s">
        <v>143</v>
      </c>
      <c r="C98" t="s">
        <v>42</v>
      </c>
      <c r="D98" t="s">
        <v>27</v>
      </c>
      <c r="E98" t="s">
        <v>36</v>
      </c>
      <c r="F98" s="5">
        <v>44081</v>
      </c>
      <c r="G98" s="3">
        <v>95292</v>
      </c>
      <c r="H98" s="4">
        <v>34</v>
      </c>
      <c r="I98" t="s">
        <v>37</v>
      </c>
      <c r="J98" t="str">
        <f t="shared" si="5"/>
        <v>Jane Johnson</v>
      </c>
      <c r="K98" t="str">
        <f t="shared" si="6"/>
        <v>Sales</v>
      </c>
      <c r="L98" s="4">
        <f t="shared" ca="1" si="7"/>
        <v>5</v>
      </c>
      <c r="M98" t="str" cm="1">
        <f t="array" ref="M98">_xlfn.IFS(
H98&lt;50,"Needs Improvement",
H98&lt;70,"Developing",
H98&lt;85,"Achieving",
H98&lt;95,"Exceeding",
TRUE,"Outstanding")</f>
        <v>Needs Improvement</v>
      </c>
      <c r="N98" s="2">
        <f t="shared" si="8"/>
        <v>0</v>
      </c>
    </row>
    <row r="99" spans="2:14" x14ac:dyDescent="0.25">
      <c r="B99" t="s">
        <v>144</v>
      </c>
      <c r="C99" t="s">
        <v>19</v>
      </c>
      <c r="D99" t="s">
        <v>47</v>
      </c>
      <c r="E99" t="s">
        <v>11</v>
      </c>
      <c r="F99" s="5">
        <v>43532</v>
      </c>
      <c r="G99" s="3">
        <v>83627.5</v>
      </c>
      <c r="H99" s="4">
        <v>33</v>
      </c>
      <c r="I99" t="s">
        <v>37</v>
      </c>
      <c r="J99" t="str">
        <f t="shared" si="5"/>
        <v>John Jones</v>
      </c>
      <c r="K99" t="str">
        <f t="shared" si="6"/>
        <v>Information Technology</v>
      </c>
      <c r="L99" s="4">
        <f t="shared" ca="1" si="7"/>
        <v>7</v>
      </c>
      <c r="M99" t="str" cm="1">
        <f t="array" ref="M99">_xlfn.IFS(
H99&lt;50,"Needs Improvement",
H99&lt;70,"Developing",
H99&lt;85,"Achieving",
H99&lt;95,"Exceeding",
TRUE,"Outstanding")</f>
        <v>Needs Improvement</v>
      </c>
      <c r="N99" s="2">
        <f t="shared" si="8"/>
        <v>0</v>
      </c>
    </row>
    <row r="100" spans="2:14" x14ac:dyDescent="0.25">
      <c r="B100" t="s">
        <v>145</v>
      </c>
      <c r="C100" t="s">
        <v>42</v>
      </c>
      <c r="D100" t="s">
        <v>55</v>
      </c>
      <c r="E100" t="s">
        <v>15</v>
      </c>
      <c r="F100" s="5">
        <v>42074</v>
      </c>
      <c r="G100" s="3">
        <v>101750</v>
      </c>
      <c r="H100" s="4">
        <v>84</v>
      </c>
      <c r="I100" t="s">
        <v>25</v>
      </c>
      <c r="J100" t="str">
        <f t="shared" si="5"/>
        <v>Jane Lopez</v>
      </c>
      <c r="K100" t="str">
        <f t="shared" si="6"/>
        <v>Marketing</v>
      </c>
      <c r="L100" s="4">
        <f t="shared" ca="1" si="7"/>
        <v>11</v>
      </c>
      <c r="M100" t="str" cm="1">
        <f t="array" ref="M100">_xlfn.IFS(
H100&lt;50,"Needs Improvement",
H100&lt;70,"Developing",
H100&lt;85,"Achieving",
H100&lt;95,"Exceeding",
TRUE,"Outstanding")</f>
        <v>Achieving</v>
      </c>
      <c r="N100" s="2">
        <f t="shared" si="8"/>
        <v>5087.5</v>
      </c>
    </row>
    <row r="101" spans="2:14" x14ac:dyDescent="0.25">
      <c r="B101" t="s">
        <v>146</v>
      </c>
      <c r="C101" t="s">
        <v>78</v>
      </c>
      <c r="D101" t="s">
        <v>17</v>
      </c>
      <c r="E101" t="s">
        <v>15</v>
      </c>
      <c r="F101" s="5">
        <v>42785</v>
      </c>
      <c r="G101" s="3">
        <v>82992</v>
      </c>
      <c r="H101" s="4">
        <v>79</v>
      </c>
      <c r="I101" t="s">
        <v>37</v>
      </c>
      <c r="J101" t="str">
        <f t="shared" si="5"/>
        <v>Melissa Gonzalez</v>
      </c>
      <c r="K101" t="str">
        <f t="shared" si="6"/>
        <v>Marketing</v>
      </c>
      <c r="L101" s="4">
        <f t="shared" ca="1" si="7"/>
        <v>9</v>
      </c>
      <c r="M101" t="str" cm="1">
        <f t="array" ref="M101">_xlfn.IFS(
H101&lt;50,"Needs Improvement",
H101&lt;70,"Developing",
H101&lt;85,"Achieving",
H101&lt;95,"Exceeding",
TRUE,"Outstanding")</f>
        <v>Achieving</v>
      </c>
      <c r="N101" s="2">
        <f t="shared" si="8"/>
        <v>4149.6000000000004</v>
      </c>
    </row>
    <row r="102" spans="2:14" x14ac:dyDescent="0.25">
      <c r="B102" t="s">
        <v>147</v>
      </c>
      <c r="C102" t="s">
        <v>116</v>
      </c>
      <c r="D102" t="s">
        <v>50</v>
      </c>
      <c r="E102" t="s">
        <v>11</v>
      </c>
      <c r="F102" s="5">
        <v>45055</v>
      </c>
      <c r="G102" s="3">
        <v>49942</v>
      </c>
      <c r="H102" s="4">
        <v>51</v>
      </c>
      <c r="I102" t="s">
        <v>37</v>
      </c>
      <c r="J102" t="str">
        <f t="shared" si="5"/>
        <v>William Davis</v>
      </c>
      <c r="K102" t="str">
        <f t="shared" si="6"/>
        <v>Information Technology</v>
      </c>
      <c r="L102" s="4">
        <f t="shared" ca="1" si="7"/>
        <v>3</v>
      </c>
      <c r="M102" t="str" cm="1">
        <f t="array" ref="M102">_xlfn.IFS(
H102&lt;50,"Needs Improvement",
H102&lt;70,"Developing",
H102&lt;85,"Achieving",
H102&lt;95,"Exceeding",
TRUE,"Outstanding")</f>
        <v>Developing</v>
      </c>
      <c r="N102" s="2">
        <f t="shared" si="8"/>
        <v>998.84</v>
      </c>
    </row>
    <row r="103" spans="2:14" x14ac:dyDescent="0.25">
      <c r="B103" t="s">
        <v>148</v>
      </c>
      <c r="C103" t="s">
        <v>19</v>
      </c>
      <c r="D103" t="s">
        <v>24</v>
      </c>
      <c r="E103" t="s">
        <v>28</v>
      </c>
      <c r="F103" s="5">
        <v>43122</v>
      </c>
      <c r="G103" s="3">
        <v>89060</v>
      </c>
      <c r="H103" s="4">
        <v>58</v>
      </c>
      <c r="I103" t="s">
        <v>37</v>
      </c>
      <c r="J103" t="str">
        <f t="shared" si="5"/>
        <v>John Smith</v>
      </c>
      <c r="K103" t="str">
        <f t="shared" si="6"/>
        <v>Operations</v>
      </c>
      <c r="L103" s="4">
        <f t="shared" ca="1" si="7"/>
        <v>8</v>
      </c>
      <c r="M103" t="str" cm="1">
        <f t="array" ref="M103">_xlfn.IFS(
H103&lt;50,"Needs Improvement",
H103&lt;70,"Developing",
H103&lt;85,"Achieving",
H103&lt;95,"Exceeding",
TRUE,"Outstanding")</f>
        <v>Developing</v>
      </c>
      <c r="N103" s="2">
        <f t="shared" si="8"/>
        <v>1781.2</v>
      </c>
    </row>
    <row r="104" spans="2:14" x14ac:dyDescent="0.25">
      <c r="B104" t="s">
        <v>149</v>
      </c>
      <c r="C104" t="s">
        <v>52</v>
      </c>
      <c r="D104" t="s">
        <v>17</v>
      </c>
      <c r="E104" t="s">
        <v>11</v>
      </c>
      <c r="F104" s="5">
        <v>43879</v>
      </c>
      <c r="G104" s="3">
        <v>53786</v>
      </c>
      <c r="H104" s="4">
        <v>98</v>
      </c>
      <c r="I104" t="s">
        <v>37</v>
      </c>
      <c r="J104" t="str">
        <f t="shared" si="5"/>
        <v>James Gonzalez</v>
      </c>
      <c r="K104" t="str">
        <f t="shared" si="6"/>
        <v>Information Technology</v>
      </c>
      <c r="L104" s="4">
        <f t="shared" ca="1" si="7"/>
        <v>6</v>
      </c>
      <c r="M104" t="str" cm="1">
        <f t="array" ref="M104">_xlfn.IFS(
H104&lt;50,"Needs Improvement",
H104&lt;70,"Developing",
H104&lt;85,"Achieving",
H104&lt;95,"Exceeding",
TRUE,"Outstanding")</f>
        <v>Outstanding</v>
      </c>
      <c r="N104" s="2">
        <f t="shared" si="8"/>
        <v>6454.32</v>
      </c>
    </row>
    <row r="105" spans="2:14" x14ac:dyDescent="0.25">
      <c r="B105" t="s">
        <v>150</v>
      </c>
      <c r="C105" t="s">
        <v>9</v>
      </c>
      <c r="D105" t="s">
        <v>27</v>
      </c>
      <c r="E105" t="s">
        <v>28</v>
      </c>
      <c r="F105" s="5">
        <v>42512</v>
      </c>
      <c r="G105" s="3">
        <v>81167</v>
      </c>
      <c r="H105" s="4">
        <v>70</v>
      </c>
      <c r="I105" t="s">
        <v>37</v>
      </c>
      <c r="J105" t="str">
        <f t="shared" si="5"/>
        <v>Emily Johnson</v>
      </c>
      <c r="K105" t="str">
        <f t="shared" si="6"/>
        <v>Operations</v>
      </c>
      <c r="L105" s="4">
        <f t="shared" ca="1" si="7"/>
        <v>10</v>
      </c>
      <c r="M105" t="str" cm="1">
        <f t="array" ref="M105">_xlfn.IFS(
H105&lt;50,"Needs Improvement",
H105&lt;70,"Developing",
H105&lt;85,"Achieving",
H105&lt;95,"Exceeding",
TRUE,"Outstanding")</f>
        <v>Achieving</v>
      </c>
      <c r="N105" s="2">
        <f t="shared" si="8"/>
        <v>4058.3500000000004</v>
      </c>
    </row>
    <row r="106" spans="2:14" x14ac:dyDescent="0.25">
      <c r="B106" t="s">
        <v>151</v>
      </c>
      <c r="C106" t="s">
        <v>116</v>
      </c>
      <c r="D106" t="s">
        <v>43</v>
      </c>
      <c r="E106" t="s">
        <v>15</v>
      </c>
      <c r="F106" s="5">
        <v>44349</v>
      </c>
      <c r="G106" s="3">
        <v>66688</v>
      </c>
      <c r="H106" s="4">
        <v>40</v>
      </c>
      <c r="I106" t="s">
        <v>25</v>
      </c>
      <c r="J106" t="str">
        <f t="shared" si="5"/>
        <v>William Williams</v>
      </c>
      <c r="K106" t="str">
        <f t="shared" si="6"/>
        <v>Marketing</v>
      </c>
      <c r="L106" s="4">
        <f t="shared" ca="1" si="7"/>
        <v>5</v>
      </c>
      <c r="M106" t="str" cm="1">
        <f t="array" ref="M106">_xlfn.IFS(
H106&lt;50,"Needs Improvement",
H106&lt;70,"Developing",
H106&lt;85,"Achieving",
H106&lt;95,"Exceeding",
TRUE,"Outstanding")</f>
        <v>Needs Improvement</v>
      </c>
      <c r="N106" s="2">
        <f t="shared" si="8"/>
        <v>0</v>
      </c>
    </row>
    <row r="107" spans="2:14" x14ac:dyDescent="0.25">
      <c r="B107" t="s">
        <v>152</v>
      </c>
      <c r="C107" t="s">
        <v>52</v>
      </c>
      <c r="D107" t="s">
        <v>47</v>
      </c>
      <c r="E107" t="s">
        <v>11</v>
      </c>
      <c r="F107" s="5">
        <v>44394</v>
      </c>
      <c r="G107" s="3">
        <v>91672</v>
      </c>
      <c r="H107" s="4">
        <v>88</v>
      </c>
      <c r="I107" t="s">
        <v>37</v>
      </c>
      <c r="J107" t="str">
        <f t="shared" si="5"/>
        <v>James Jones</v>
      </c>
      <c r="K107" t="str">
        <f t="shared" si="6"/>
        <v>Information Technology</v>
      </c>
      <c r="L107" s="4">
        <f t="shared" ca="1" si="7"/>
        <v>4</v>
      </c>
      <c r="M107" t="str" cm="1">
        <f t="array" ref="M107">_xlfn.IFS(
H107&lt;50,"Needs Improvement",
H107&lt;70,"Developing",
H107&lt;85,"Achieving",
H107&lt;95,"Exceeding",
TRUE,"Outstanding")</f>
        <v>Exceeding</v>
      </c>
      <c r="N107" s="2">
        <f t="shared" si="8"/>
        <v>7333.76</v>
      </c>
    </row>
    <row r="108" spans="2:14" x14ac:dyDescent="0.25">
      <c r="B108" t="s">
        <v>153</v>
      </c>
      <c r="C108" t="s">
        <v>32</v>
      </c>
      <c r="D108" t="s">
        <v>17</v>
      </c>
      <c r="E108" t="s">
        <v>73</v>
      </c>
      <c r="F108" s="5">
        <v>42687</v>
      </c>
      <c r="G108" s="3">
        <v>77737</v>
      </c>
      <c r="H108" s="4">
        <v>77</v>
      </c>
      <c r="I108" t="s">
        <v>37</v>
      </c>
      <c r="J108" t="str">
        <f t="shared" si="5"/>
        <v>Jessica Gonzalez</v>
      </c>
      <c r="K108" t="str">
        <f t="shared" si="6"/>
        <v>Human Resources</v>
      </c>
      <c r="L108" s="4">
        <f t="shared" ca="1" si="7"/>
        <v>9</v>
      </c>
      <c r="M108" t="str" cm="1">
        <f t="array" ref="M108">_xlfn.IFS(
H108&lt;50,"Needs Improvement",
H108&lt;70,"Developing",
H108&lt;85,"Achieving",
H108&lt;95,"Exceeding",
TRUE,"Outstanding")</f>
        <v>Achieving</v>
      </c>
      <c r="N108" s="2">
        <f t="shared" si="8"/>
        <v>3886.8500000000004</v>
      </c>
    </row>
    <row r="109" spans="2:14" x14ac:dyDescent="0.25">
      <c r="B109" t="s">
        <v>154</v>
      </c>
      <c r="C109" t="s">
        <v>71</v>
      </c>
      <c r="D109" t="s">
        <v>39</v>
      </c>
      <c r="E109" t="s">
        <v>36</v>
      </c>
      <c r="F109" s="5">
        <v>43513</v>
      </c>
      <c r="G109" s="3">
        <v>95686</v>
      </c>
      <c r="H109" s="4">
        <v>91</v>
      </c>
      <c r="I109" t="s">
        <v>37</v>
      </c>
      <c r="J109" t="str">
        <f t="shared" si="5"/>
        <v>Sarah Miller</v>
      </c>
      <c r="K109" t="str">
        <f t="shared" si="6"/>
        <v>Sales</v>
      </c>
      <c r="L109" s="4">
        <f t="shared" ca="1" si="7"/>
        <v>7</v>
      </c>
      <c r="M109" t="str" cm="1">
        <f t="array" ref="M109">_xlfn.IFS(
H109&lt;50,"Needs Improvement",
H109&lt;70,"Developing",
H109&lt;85,"Achieving",
H109&lt;95,"Exceeding",
TRUE,"Outstanding")</f>
        <v>Exceeding</v>
      </c>
      <c r="N109" s="2">
        <f t="shared" si="8"/>
        <v>7654.88</v>
      </c>
    </row>
    <row r="110" spans="2:14" x14ac:dyDescent="0.25">
      <c r="B110" t="s">
        <v>155</v>
      </c>
      <c r="C110" t="s">
        <v>32</v>
      </c>
      <c r="D110" t="s">
        <v>24</v>
      </c>
      <c r="E110" t="s">
        <v>36</v>
      </c>
      <c r="F110" s="5">
        <v>42625</v>
      </c>
      <c r="G110" s="3">
        <v>114681</v>
      </c>
      <c r="H110" s="4">
        <v>36</v>
      </c>
      <c r="I110" t="s">
        <v>37</v>
      </c>
      <c r="J110" t="str">
        <f t="shared" si="5"/>
        <v>Jessica Smith</v>
      </c>
      <c r="K110" t="str">
        <f t="shared" si="6"/>
        <v>Sales</v>
      </c>
      <c r="L110" s="4">
        <f t="shared" ca="1" si="7"/>
        <v>9</v>
      </c>
      <c r="M110" t="str" cm="1">
        <f t="array" ref="M110">_xlfn.IFS(
H110&lt;50,"Needs Improvement",
H110&lt;70,"Developing",
H110&lt;85,"Achieving",
H110&lt;95,"Exceeding",
TRUE,"Outstanding")</f>
        <v>Needs Improvement</v>
      </c>
      <c r="N110" s="2">
        <f t="shared" si="8"/>
        <v>0</v>
      </c>
    </row>
    <row r="111" spans="2:14" x14ac:dyDescent="0.25">
      <c r="B111" t="s">
        <v>156</v>
      </c>
      <c r="C111" t="s">
        <v>23</v>
      </c>
      <c r="D111" t="s">
        <v>47</v>
      </c>
      <c r="E111" t="s">
        <v>28</v>
      </c>
      <c r="F111" s="5">
        <v>44421</v>
      </c>
      <c r="G111" s="3">
        <v>109121</v>
      </c>
      <c r="H111" s="4">
        <v>72</v>
      </c>
      <c r="I111" t="s">
        <v>37</v>
      </c>
      <c r="J111" t="str">
        <f t="shared" si="5"/>
        <v>Thomas Jones</v>
      </c>
      <c r="K111" t="str">
        <f t="shared" si="6"/>
        <v>Operations</v>
      </c>
      <c r="L111" s="4">
        <f t="shared" ca="1" si="7"/>
        <v>4</v>
      </c>
      <c r="M111" t="str" cm="1">
        <f t="array" ref="M111">_xlfn.IFS(
H111&lt;50,"Needs Improvement",
H111&lt;70,"Developing",
H111&lt;85,"Achieving",
H111&lt;95,"Exceeding",
TRUE,"Outstanding")</f>
        <v>Achieving</v>
      </c>
      <c r="N111" s="2">
        <f t="shared" si="8"/>
        <v>5456.05</v>
      </c>
    </row>
    <row r="112" spans="2:14" x14ac:dyDescent="0.25">
      <c r="B112" t="s">
        <v>157</v>
      </c>
      <c r="C112" t="s">
        <v>57</v>
      </c>
      <c r="D112" t="s">
        <v>10</v>
      </c>
      <c r="E112" t="s">
        <v>15</v>
      </c>
      <c r="F112" s="5">
        <v>43996</v>
      </c>
      <c r="G112" s="3">
        <v>112791</v>
      </c>
      <c r="H112" s="4">
        <v>87</v>
      </c>
      <c r="I112" t="s">
        <v>37</v>
      </c>
      <c r="J112" t="str">
        <f t="shared" si="5"/>
        <v>Amanda Brown</v>
      </c>
      <c r="K112" t="str">
        <f t="shared" si="6"/>
        <v>Marketing</v>
      </c>
      <c r="L112" s="4">
        <f t="shared" ca="1" si="7"/>
        <v>6</v>
      </c>
      <c r="M112" t="str" cm="1">
        <f t="array" ref="M112">_xlfn.IFS(
H112&lt;50,"Needs Improvement",
H112&lt;70,"Developing",
H112&lt;85,"Achieving",
H112&lt;95,"Exceeding",
TRUE,"Outstanding")</f>
        <v>Exceeding</v>
      </c>
      <c r="N112" s="2">
        <f t="shared" si="8"/>
        <v>9023.2800000000007</v>
      </c>
    </row>
    <row r="113" spans="2:14" x14ac:dyDescent="0.25">
      <c r="B113" t="s">
        <v>158</v>
      </c>
      <c r="C113" t="s">
        <v>46</v>
      </c>
      <c r="D113" t="s">
        <v>20</v>
      </c>
      <c r="E113" t="s">
        <v>11</v>
      </c>
      <c r="F113" s="5">
        <v>44747</v>
      </c>
      <c r="G113" s="3">
        <v>118008</v>
      </c>
      <c r="H113" s="4">
        <v>71</v>
      </c>
      <c r="I113" t="s">
        <v>37</v>
      </c>
      <c r="J113" t="str">
        <f t="shared" si="5"/>
        <v>Robert Martinez</v>
      </c>
      <c r="K113" t="str">
        <f t="shared" si="6"/>
        <v>Information Technology</v>
      </c>
      <c r="L113" s="4">
        <f t="shared" ca="1" si="7"/>
        <v>4</v>
      </c>
      <c r="M113" t="str" cm="1">
        <f t="array" ref="M113">_xlfn.IFS(
H113&lt;50,"Needs Improvement",
H113&lt;70,"Developing",
H113&lt;85,"Achieving",
H113&lt;95,"Exceeding",
TRUE,"Outstanding")</f>
        <v>Achieving</v>
      </c>
      <c r="N113" s="2">
        <f t="shared" si="8"/>
        <v>5900.4000000000005</v>
      </c>
    </row>
    <row r="114" spans="2:14" x14ac:dyDescent="0.25">
      <c r="B114" t="s">
        <v>159</v>
      </c>
      <c r="C114" t="s">
        <v>23</v>
      </c>
      <c r="D114" t="s">
        <v>39</v>
      </c>
      <c r="E114" t="s">
        <v>11</v>
      </c>
      <c r="F114" s="5">
        <v>42561</v>
      </c>
      <c r="G114" s="3">
        <v>74370</v>
      </c>
      <c r="H114" s="4">
        <v>82</v>
      </c>
      <c r="I114" t="s">
        <v>37</v>
      </c>
      <c r="J114" t="str">
        <f t="shared" si="5"/>
        <v>Thomas Miller</v>
      </c>
      <c r="K114" t="str">
        <f t="shared" si="6"/>
        <v>Information Technology</v>
      </c>
      <c r="L114" s="4">
        <f t="shared" ca="1" si="7"/>
        <v>9</v>
      </c>
      <c r="M114" t="str" cm="1">
        <f t="array" ref="M114">_xlfn.IFS(
H114&lt;50,"Needs Improvement",
H114&lt;70,"Developing",
H114&lt;85,"Achieving",
H114&lt;95,"Exceeding",
TRUE,"Outstanding")</f>
        <v>Achieving</v>
      </c>
      <c r="N114" s="2">
        <f t="shared" si="8"/>
        <v>3718.5</v>
      </c>
    </row>
    <row r="115" spans="2:14" x14ac:dyDescent="0.25">
      <c r="B115" t="s">
        <v>160</v>
      </c>
      <c r="C115" t="s">
        <v>83</v>
      </c>
      <c r="D115" t="s">
        <v>33</v>
      </c>
      <c r="E115" t="s">
        <v>11</v>
      </c>
      <c r="F115" s="5">
        <v>44674</v>
      </c>
      <c r="G115" s="3">
        <v>77819</v>
      </c>
      <c r="H115" s="4">
        <v>79</v>
      </c>
      <c r="I115" t="s">
        <v>37</v>
      </c>
      <c r="J115" t="str">
        <f t="shared" si="5"/>
        <v>David Rodriguez</v>
      </c>
      <c r="K115" t="str">
        <f t="shared" si="6"/>
        <v>Information Technology</v>
      </c>
      <c r="L115" s="4">
        <f t="shared" ca="1" si="7"/>
        <v>4</v>
      </c>
      <c r="M115" t="str" cm="1">
        <f t="array" ref="M115">_xlfn.IFS(
H115&lt;50,"Needs Improvement",
H115&lt;70,"Developing",
H115&lt;85,"Achieving",
H115&lt;95,"Exceeding",
TRUE,"Outstanding")</f>
        <v>Achieving</v>
      </c>
      <c r="N115" s="2">
        <f t="shared" si="8"/>
        <v>3890.9500000000003</v>
      </c>
    </row>
    <row r="116" spans="2:14" x14ac:dyDescent="0.25">
      <c r="B116" t="s">
        <v>161</v>
      </c>
      <c r="C116" t="s">
        <v>42</v>
      </c>
      <c r="D116" t="s">
        <v>39</v>
      </c>
      <c r="E116" t="s">
        <v>15</v>
      </c>
      <c r="F116" s="5">
        <v>42865</v>
      </c>
      <c r="G116" s="3">
        <v>48748</v>
      </c>
      <c r="H116" s="4">
        <v>83</v>
      </c>
      <c r="I116" t="s">
        <v>37</v>
      </c>
      <c r="J116" t="str">
        <f t="shared" si="5"/>
        <v>Jane Miller</v>
      </c>
      <c r="K116" t="str">
        <f t="shared" si="6"/>
        <v>Marketing</v>
      </c>
      <c r="L116" s="4">
        <f t="shared" ca="1" si="7"/>
        <v>9</v>
      </c>
      <c r="M116" t="str" cm="1">
        <f t="array" ref="M116">_xlfn.IFS(
H116&lt;50,"Needs Improvement",
H116&lt;70,"Developing",
H116&lt;85,"Achieving",
H116&lt;95,"Exceeding",
TRUE,"Outstanding")</f>
        <v>Achieving</v>
      </c>
      <c r="N116" s="2">
        <f t="shared" si="8"/>
        <v>2437.4</v>
      </c>
    </row>
    <row r="117" spans="2:14" x14ac:dyDescent="0.25">
      <c r="B117" t="s">
        <v>162</v>
      </c>
      <c r="C117" t="s">
        <v>52</v>
      </c>
      <c r="D117" t="s">
        <v>33</v>
      </c>
      <c r="E117" t="s">
        <v>28</v>
      </c>
      <c r="F117" s="5">
        <v>43971</v>
      </c>
      <c r="G117" s="3">
        <v>101997</v>
      </c>
      <c r="H117" s="4">
        <v>38</v>
      </c>
      <c r="I117" t="s">
        <v>85</v>
      </c>
      <c r="J117" t="str">
        <f t="shared" si="5"/>
        <v>James Rodriguez</v>
      </c>
      <c r="K117" t="str">
        <f t="shared" si="6"/>
        <v>Operations</v>
      </c>
      <c r="L117" s="4">
        <f t="shared" ca="1" si="7"/>
        <v>6</v>
      </c>
      <c r="M117" t="str" cm="1">
        <f t="array" ref="M117">_xlfn.IFS(
H117&lt;50,"Needs Improvement",
H117&lt;70,"Developing",
H117&lt;85,"Achieving",
H117&lt;95,"Exceeding",
TRUE,"Outstanding")</f>
        <v>Needs Improvement</v>
      </c>
      <c r="N117" s="2">
        <f t="shared" si="8"/>
        <v>0</v>
      </c>
    </row>
    <row r="118" spans="2:14" x14ac:dyDescent="0.25">
      <c r="B118" t="s">
        <v>163</v>
      </c>
      <c r="C118" t="s">
        <v>71</v>
      </c>
      <c r="D118" t="s">
        <v>33</v>
      </c>
      <c r="E118" t="s">
        <v>73</v>
      </c>
      <c r="F118" s="5">
        <v>45036</v>
      </c>
      <c r="G118" s="3">
        <v>115260</v>
      </c>
      <c r="H118" s="4">
        <v>77</v>
      </c>
      <c r="I118" t="s">
        <v>37</v>
      </c>
      <c r="J118" t="str">
        <f t="shared" si="5"/>
        <v>Sarah Rodriguez</v>
      </c>
      <c r="K118" t="str">
        <f t="shared" si="6"/>
        <v>Human Resources</v>
      </c>
      <c r="L118" s="4">
        <f t="shared" ca="1" si="7"/>
        <v>3</v>
      </c>
      <c r="M118" t="str" cm="1">
        <f t="array" ref="M118">_xlfn.IFS(
H118&lt;50,"Needs Improvement",
H118&lt;70,"Developing",
H118&lt;85,"Achieving",
H118&lt;95,"Exceeding",
TRUE,"Outstanding")</f>
        <v>Achieving</v>
      </c>
      <c r="N118" s="2">
        <f t="shared" si="8"/>
        <v>5763</v>
      </c>
    </row>
    <row r="119" spans="2:14" x14ac:dyDescent="0.25">
      <c r="B119" t="s">
        <v>164</v>
      </c>
      <c r="C119" t="s">
        <v>71</v>
      </c>
      <c r="D119" t="s">
        <v>30</v>
      </c>
      <c r="E119" t="s">
        <v>36</v>
      </c>
      <c r="F119" s="5">
        <v>44500</v>
      </c>
      <c r="G119" s="3">
        <v>83627.5</v>
      </c>
      <c r="H119" s="4">
        <v>49</v>
      </c>
      <c r="I119" t="s">
        <v>37</v>
      </c>
      <c r="J119" t="str">
        <f t="shared" si="5"/>
        <v>Sarah Wilson</v>
      </c>
      <c r="K119" t="str">
        <f t="shared" si="6"/>
        <v>Sales</v>
      </c>
      <c r="L119" s="4">
        <f t="shared" ca="1" si="7"/>
        <v>4</v>
      </c>
      <c r="M119" t="str" cm="1">
        <f t="array" ref="M119">_xlfn.IFS(
H119&lt;50,"Needs Improvement",
H119&lt;70,"Developing",
H119&lt;85,"Achieving",
H119&lt;95,"Exceeding",
TRUE,"Outstanding")</f>
        <v>Needs Improvement</v>
      </c>
      <c r="N119" s="2">
        <f t="shared" si="8"/>
        <v>0</v>
      </c>
    </row>
    <row r="120" spans="2:14" x14ac:dyDescent="0.25">
      <c r="B120" t="s">
        <v>165</v>
      </c>
      <c r="C120" t="s">
        <v>78</v>
      </c>
      <c r="D120" t="s">
        <v>10</v>
      </c>
      <c r="E120" t="s">
        <v>11</v>
      </c>
      <c r="F120" s="5">
        <v>44493</v>
      </c>
      <c r="G120" s="3">
        <v>83627.5</v>
      </c>
      <c r="H120" s="4">
        <v>69</v>
      </c>
      <c r="I120" t="s">
        <v>25</v>
      </c>
      <c r="J120" t="str">
        <f t="shared" si="5"/>
        <v>Melissa Brown</v>
      </c>
      <c r="K120" t="str">
        <f t="shared" si="6"/>
        <v>Information Technology</v>
      </c>
      <c r="L120" s="4">
        <f t="shared" ca="1" si="7"/>
        <v>4</v>
      </c>
      <c r="M120" t="str" cm="1">
        <f t="array" ref="M120">_xlfn.IFS(
H120&lt;50,"Needs Improvement",
H120&lt;70,"Developing",
H120&lt;85,"Achieving",
H120&lt;95,"Exceeding",
TRUE,"Outstanding")</f>
        <v>Developing</v>
      </c>
      <c r="N120" s="2">
        <f t="shared" si="8"/>
        <v>1672.55</v>
      </c>
    </row>
    <row r="121" spans="2:14" x14ac:dyDescent="0.25">
      <c r="B121" t="s">
        <v>166</v>
      </c>
      <c r="C121" t="s">
        <v>46</v>
      </c>
      <c r="D121" t="s">
        <v>43</v>
      </c>
      <c r="E121" t="s">
        <v>36</v>
      </c>
      <c r="F121" s="5">
        <v>42956</v>
      </c>
      <c r="G121" s="3">
        <v>83627.5</v>
      </c>
      <c r="H121" s="4">
        <v>76</v>
      </c>
      <c r="I121" t="s">
        <v>37</v>
      </c>
      <c r="J121" t="str">
        <f t="shared" si="5"/>
        <v>Robert Williams</v>
      </c>
      <c r="K121" t="str">
        <f t="shared" si="6"/>
        <v>Sales</v>
      </c>
      <c r="L121" s="4">
        <f t="shared" ca="1" si="7"/>
        <v>8</v>
      </c>
      <c r="M121" t="str" cm="1">
        <f t="array" ref="M121">_xlfn.IFS(
H121&lt;50,"Needs Improvement",
H121&lt;70,"Developing",
H121&lt;85,"Achieving",
H121&lt;95,"Exceeding",
TRUE,"Outstanding")</f>
        <v>Achieving</v>
      </c>
      <c r="N121" s="2">
        <f t="shared" si="8"/>
        <v>4181.375</v>
      </c>
    </row>
    <row r="122" spans="2:14" x14ac:dyDescent="0.25">
      <c r="B122" t="s">
        <v>167</v>
      </c>
      <c r="C122" t="s">
        <v>78</v>
      </c>
      <c r="D122" t="s">
        <v>33</v>
      </c>
      <c r="E122" t="s">
        <v>28</v>
      </c>
      <c r="F122" s="5">
        <v>44930</v>
      </c>
      <c r="G122" s="3">
        <v>60623</v>
      </c>
      <c r="H122" s="4">
        <v>78</v>
      </c>
      <c r="I122" t="s">
        <v>37</v>
      </c>
      <c r="J122" t="str">
        <f t="shared" si="5"/>
        <v>Melissa Rodriguez</v>
      </c>
      <c r="K122" t="str">
        <f t="shared" si="6"/>
        <v>Operations</v>
      </c>
      <c r="L122" s="4">
        <f t="shared" ca="1" si="7"/>
        <v>3</v>
      </c>
      <c r="M122" t="str" cm="1">
        <f t="array" ref="M122">_xlfn.IFS(
H122&lt;50,"Needs Improvement",
H122&lt;70,"Developing",
H122&lt;85,"Achieving",
H122&lt;95,"Exceeding",
TRUE,"Outstanding")</f>
        <v>Achieving</v>
      </c>
      <c r="N122" s="2">
        <f t="shared" si="8"/>
        <v>3031.15</v>
      </c>
    </row>
    <row r="123" spans="2:14" x14ac:dyDescent="0.25">
      <c r="B123" t="s">
        <v>168</v>
      </c>
      <c r="C123" t="s">
        <v>52</v>
      </c>
      <c r="D123" t="s">
        <v>27</v>
      </c>
      <c r="E123" t="s">
        <v>73</v>
      </c>
      <c r="F123" s="5">
        <v>44053</v>
      </c>
      <c r="G123" s="3">
        <v>68092</v>
      </c>
      <c r="H123" s="4">
        <v>93</v>
      </c>
      <c r="I123" t="s">
        <v>37</v>
      </c>
      <c r="J123" t="str">
        <f t="shared" si="5"/>
        <v>James Johnson</v>
      </c>
      <c r="K123" t="str">
        <f t="shared" si="6"/>
        <v>Human Resources</v>
      </c>
      <c r="L123" s="4">
        <f t="shared" ca="1" si="7"/>
        <v>5</v>
      </c>
      <c r="M123" t="str" cm="1">
        <f t="array" ref="M123">_xlfn.IFS(
H123&lt;50,"Needs Improvement",
H123&lt;70,"Developing",
H123&lt;85,"Achieving",
H123&lt;95,"Exceeding",
TRUE,"Outstanding")</f>
        <v>Exceeding</v>
      </c>
      <c r="N123" s="2">
        <f t="shared" si="8"/>
        <v>5447.36</v>
      </c>
    </row>
    <row r="124" spans="2:14" x14ac:dyDescent="0.25">
      <c r="B124" t="s">
        <v>169</v>
      </c>
      <c r="C124" t="s">
        <v>35</v>
      </c>
      <c r="D124" t="s">
        <v>30</v>
      </c>
      <c r="E124" t="s">
        <v>15</v>
      </c>
      <c r="F124" s="5">
        <v>44653</v>
      </c>
      <c r="G124" s="3">
        <v>88155</v>
      </c>
      <c r="H124" s="4">
        <v>68</v>
      </c>
      <c r="I124" t="s">
        <v>37</v>
      </c>
      <c r="J124" t="str">
        <f t="shared" si="5"/>
        <v>Michael Wilson</v>
      </c>
      <c r="K124" t="str">
        <f t="shared" si="6"/>
        <v>Marketing</v>
      </c>
      <c r="L124" s="4">
        <f t="shared" ca="1" si="7"/>
        <v>4</v>
      </c>
      <c r="M124" t="str" cm="1">
        <f t="array" ref="M124">_xlfn.IFS(
H124&lt;50,"Needs Improvement",
H124&lt;70,"Developing",
H124&lt;85,"Achieving",
H124&lt;95,"Exceeding",
TRUE,"Outstanding")</f>
        <v>Developing</v>
      </c>
      <c r="N124" s="2">
        <f t="shared" si="8"/>
        <v>1763.1000000000001</v>
      </c>
    </row>
    <row r="125" spans="2:14" x14ac:dyDescent="0.25">
      <c r="B125" t="s">
        <v>170</v>
      </c>
      <c r="C125" t="s">
        <v>116</v>
      </c>
      <c r="D125" t="s">
        <v>47</v>
      </c>
      <c r="E125" t="s">
        <v>15</v>
      </c>
      <c r="F125" s="5">
        <v>43183</v>
      </c>
      <c r="G125" s="3">
        <v>107903</v>
      </c>
      <c r="H125" s="4">
        <v>42</v>
      </c>
      <c r="I125" t="s">
        <v>37</v>
      </c>
      <c r="J125" t="str">
        <f t="shared" si="5"/>
        <v>William Jones</v>
      </c>
      <c r="K125" t="str">
        <f t="shared" si="6"/>
        <v>Marketing</v>
      </c>
      <c r="L125" s="4">
        <f t="shared" ca="1" si="7"/>
        <v>8</v>
      </c>
      <c r="M125" t="str" cm="1">
        <f t="array" ref="M125">_xlfn.IFS(
H125&lt;50,"Needs Improvement",
H125&lt;70,"Developing",
H125&lt;85,"Achieving",
H125&lt;95,"Exceeding",
TRUE,"Outstanding")</f>
        <v>Needs Improvement</v>
      </c>
      <c r="N125" s="2">
        <f t="shared" si="8"/>
        <v>0</v>
      </c>
    </row>
    <row r="126" spans="2:14" x14ac:dyDescent="0.25">
      <c r="B126" t="s">
        <v>171</v>
      </c>
      <c r="C126" t="s">
        <v>116</v>
      </c>
      <c r="D126" t="s">
        <v>43</v>
      </c>
      <c r="E126" t="s">
        <v>11</v>
      </c>
      <c r="F126" s="5">
        <v>43305</v>
      </c>
      <c r="G126" s="3">
        <v>62818</v>
      </c>
      <c r="H126" s="4">
        <v>34</v>
      </c>
      <c r="I126" t="s">
        <v>37</v>
      </c>
      <c r="J126" t="str">
        <f t="shared" si="5"/>
        <v>William Williams</v>
      </c>
      <c r="K126" t="str">
        <f t="shared" si="6"/>
        <v>Information Technology</v>
      </c>
      <c r="L126" s="4">
        <f t="shared" ca="1" si="7"/>
        <v>7</v>
      </c>
      <c r="M126" t="str" cm="1">
        <f t="array" ref="M126">_xlfn.IFS(
H126&lt;50,"Needs Improvement",
H126&lt;70,"Developing",
H126&lt;85,"Achieving",
H126&lt;95,"Exceeding",
TRUE,"Outstanding")</f>
        <v>Needs Improvement</v>
      </c>
      <c r="N126" s="2">
        <f t="shared" si="8"/>
        <v>0</v>
      </c>
    </row>
    <row r="127" spans="2:14" x14ac:dyDescent="0.25">
      <c r="B127" t="s">
        <v>172</v>
      </c>
      <c r="C127" t="s">
        <v>83</v>
      </c>
      <c r="D127" t="s">
        <v>43</v>
      </c>
      <c r="E127" t="s">
        <v>73</v>
      </c>
      <c r="F127" s="5">
        <v>43301</v>
      </c>
      <c r="G127" s="3">
        <v>85151</v>
      </c>
      <c r="H127" s="4">
        <v>35</v>
      </c>
      <c r="I127" t="s">
        <v>37</v>
      </c>
      <c r="J127" t="str">
        <f t="shared" si="5"/>
        <v>David Williams</v>
      </c>
      <c r="K127" t="str">
        <f t="shared" si="6"/>
        <v>Human Resources</v>
      </c>
      <c r="L127" s="4">
        <f t="shared" ca="1" si="7"/>
        <v>7</v>
      </c>
      <c r="M127" t="str" cm="1">
        <f t="array" ref="M127">_xlfn.IFS(
H127&lt;50,"Needs Improvement",
H127&lt;70,"Developing",
H127&lt;85,"Achieving",
H127&lt;95,"Exceeding",
TRUE,"Outstanding")</f>
        <v>Needs Improvement</v>
      </c>
      <c r="N127" s="2">
        <f t="shared" si="8"/>
        <v>0</v>
      </c>
    </row>
    <row r="128" spans="2:14" x14ac:dyDescent="0.25">
      <c r="B128" t="s">
        <v>173</v>
      </c>
      <c r="C128" t="s">
        <v>42</v>
      </c>
      <c r="D128" t="s">
        <v>50</v>
      </c>
      <c r="E128" t="s">
        <v>21</v>
      </c>
      <c r="F128" s="5">
        <v>42433</v>
      </c>
      <c r="G128" s="3">
        <v>46390</v>
      </c>
      <c r="H128" s="4">
        <v>95</v>
      </c>
      <c r="I128" t="s">
        <v>37</v>
      </c>
      <c r="J128" t="str">
        <f t="shared" si="5"/>
        <v>Jane Davis</v>
      </c>
      <c r="K128" t="str">
        <f t="shared" si="6"/>
        <v>Finance</v>
      </c>
      <c r="L128" s="4">
        <f t="shared" ca="1" si="7"/>
        <v>10</v>
      </c>
      <c r="M128" t="str" cm="1">
        <f t="array" ref="M128">_xlfn.IFS(
H128&lt;50,"Needs Improvement",
H128&lt;70,"Developing",
H128&lt;85,"Achieving",
H128&lt;95,"Exceeding",
TRUE,"Outstanding")</f>
        <v>Outstanding</v>
      </c>
      <c r="N128" s="2">
        <f t="shared" si="8"/>
        <v>5566.8</v>
      </c>
    </row>
    <row r="129" spans="2:14" x14ac:dyDescent="0.25">
      <c r="B129" t="s">
        <v>174</v>
      </c>
      <c r="C129" t="s">
        <v>19</v>
      </c>
      <c r="D129" t="s">
        <v>20</v>
      </c>
      <c r="E129" t="s">
        <v>73</v>
      </c>
      <c r="F129" s="5">
        <v>44643</v>
      </c>
      <c r="G129" s="3">
        <v>111920</v>
      </c>
      <c r="H129" s="4">
        <v>90</v>
      </c>
      <c r="I129" t="s">
        <v>25</v>
      </c>
      <c r="J129" t="str">
        <f t="shared" si="5"/>
        <v>John Martinez</v>
      </c>
      <c r="K129" t="str">
        <f t="shared" si="6"/>
        <v>Human Resources</v>
      </c>
      <c r="L129" s="4">
        <f t="shared" ca="1" si="7"/>
        <v>4</v>
      </c>
      <c r="M129" t="str" cm="1">
        <f t="array" ref="M129">_xlfn.IFS(
H129&lt;50,"Needs Improvement",
H129&lt;70,"Developing",
H129&lt;85,"Achieving",
H129&lt;95,"Exceeding",
TRUE,"Outstanding")</f>
        <v>Exceeding</v>
      </c>
      <c r="N129" s="2">
        <f t="shared" si="8"/>
        <v>8953.6</v>
      </c>
    </row>
    <row r="130" spans="2:14" x14ac:dyDescent="0.25">
      <c r="B130" t="s">
        <v>175</v>
      </c>
      <c r="C130" t="s">
        <v>83</v>
      </c>
      <c r="D130" t="s">
        <v>100</v>
      </c>
      <c r="E130" t="s">
        <v>73</v>
      </c>
      <c r="F130" s="5">
        <v>42944</v>
      </c>
      <c r="G130" s="3">
        <v>115618</v>
      </c>
      <c r="H130" s="4">
        <v>42</v>
      </c>
      <c r="I130" t="s">
        <v>37</v>
      </c>
      <c r="J130" t="str">
        <f t="shared" ref="J130:J150" si="9">C130&amp;" "&amp;D130</f>
        <v>David Anderson</v>
      </c>
      <c r="K130" t="str">
        <f t="shared" si="6"/>
        <v>Human Resources</v>
      </c>
      <c r="L130" s="4">
        <f t="shared" ca="1" si="7"/>
        <v>8</v>
      </c>
      <c r="M130" t="str" cm="1">
        <f t="array" ref="M130">_xlfn.IFS(
H130&lt;50,"Needs Improvement",
H130&lt;70,"Developing",
H130&lt;85,"Achieving",
H130&lt;95,"Exceeding",
TRUE,"Outstanding")</f>
        <v>Needs Improvement</v>
      </c>
      <c r="N130" s="2">
        <f t="shared" si="8"/>
        <v>0</v>
      </c>
    </row>
    <row r="131" spans="2:14" x14ac:dyDescent="0.25">
      <c r="B131" t="s">
        <v>176</v>
      </c>
      <c r="C131" t="s">
        <v>71</v>
      </c>
      <c r="D131" t="s">
        <v>24</v>
      </c>
      <c r="E131" t="s">
        <v>36</v>
      </c>
      <c r="F131" s="5">
        <v>45057</v>
      </c>
      <c r="G131" s="3">
        <v>110618</v>
      </c>
      <c r="H131" s="4">
        <v>88</v>
      </c>
      <c r="I131" t="s">
        <v>85</v>
      </c>
      <c r="J131" t="str">
        <f t="shared" si="9"/>
        <v>Sarah Smith</v>
      </c>
      <c r="K131" t="str">
        <f t="shared" ref="K131:K150" si="10">_xlfn.XLOOKUP(E131,$R$5:$R$10, $S$5:$S$10)</f>
        <v>Sales</v>
      </c>
      <c r="L131" s="4">
        <f t="shared" ref="L131:L150" ca="1" si="11">DATEDIF(F131,TODAY(),"Y")</f>
        <v>3</v>
      </c>
      <c r="M131" t="str" cm="1">
        <f t="array" ref="M131">_xlfn.IFS(
H131&lt;50,"Needs Improvement",
H131&lt;70,"Developing",
H131&lt;85,"Achieving",
H131&lt;95,"Exceeding",
TRUE,"Outstanding")</f>
        <v>Exceeding</v>
      </c>
      <c r="N131" s="2">
        <f t="shared" si="8"/>
        <v>8849.44</v>
      </c>
    </row>
    <row r="132" spans="2:14" x14ac:dyDescent="0.25">
      <c r="B132" t="s">
        <v>177</v>
      </c>
      <c r="C132" t="s">
        <v>78</v>
      </c>
      <c r="D132" t="s">
        <v>14</v>
      </c>
      <c r="E132" t="s">
        <v>28</v>
      </c>
      <c r="F132" s="5">
        <v>44639</v>
      </c>
      <c r="G132" s="3">
        <v>108395</v>
      </c>
      <c r="H132" s="4">
        <v>78</v>
      </c>
      <c r="I132" t="s">
        <v>25</v>
      </c>
      <c r="J132" t="str">
        <f t="shared" si="9"/>
        <v>Melissa Hernandez</v>
      </c>
      <c r="K132" t="str">
        <f t="shared" si="10"/>
        <v>Operations</v>
      </c>
      <c r="L132" s="4">
        <f t="shared" ca="1" si="11"/>
        <v>4</v>
      </c>
      <c r="M132" t="str" cm="1">
        <f t="array" ref="M132">_xlfn.IFS(
H132&lt;50,"Needs Improvement",
H132&lt;70,"Developing",
H132&lt;85,"Achieving",
H132&lt;95,"Exceeding",
TRUE,"Outstanding")</f>
        <v>Achieving</v>
      </c>
      <c r="N132" s="2">
        <f t="shared" si="8"/>
        <v>5419.75</v>
      </c>
    </row>
    <row r="133" spans="2:14" x14ac:dyDescent="0.25">
      <c r="B133" t="s">
        <v>178</v>
      </c>
      <c r="C133" t="s">
        <v>78</v>
      </c>
      <c r="D133" t="s">
        <v>27</v>
      </c>
      <c r="E133" t="s">
        <v>21</v>
      </c>
      <c r="F133" s="5">
        <v>43091</v>
      </c>
      <c r="G133" s="3">
        <v>88005</v>
      </c>
      <c r="H133" s="4">
        <v>69</v>
      </c>
      <c r="I133" t="s">
        <v>37</v>
      </c>
      <c r="J133" t="str">
        <f t="shared" si="9"/>
        <v>Melissa Johnson</v>
      </c>
      <c r="K133" t="str">
        <f t="shared" si="10"/>
        <v>Finance</v>
      </c>
      <c r="L133" s="4">
        <f t="shared" ca="1" si="11"/>
        <v>8</v>
      </c>
      <c r="M133" t="str" cm="1">
        <f t="array" ref="M133">_xlfn.IFS(
H133&lt;50,"Needs Improvement",
H133&lt;70,"Developing",
H133&lt;85,"Achieving",
H133&lt;95,"Exceeding",
TRUE,"Outstanding")</f>
        <v>Developing</v>
      </c>
      <c r="N133" s="2">
        <f t="shared" si="8"/>
        <v>1760.1000000000001</v>
      </c>
    </row>
    <row r="134" spans="2:14" x14ac:dyDescent="0.25">
      <c r="B134" t="s">
        <v>179</v>
      </c>
      <c r="C134" t="s">
        <v>42</v>
      </c>
      <c r="D134" t="s">
        <v>98</v>
      </c>
      <c r="E134" t="s">
        <v>15</v>
      </c>
      <c r="F134" s="5">
        <v>44437</v>
      </c>
      <c r="G134" s="3">
        <v>83007</v>
      </c>
      <c r="H134" s="4">
        <v>82</v>
      </c>
      <c r="I134" t="s">
        <v>37</v>
      </c>
      <c r="J134" t="str">
        <f t="shared" si="9"/>
        <v>Jane Garcia</v>
      </c>
      <c r="K134" t="str">
        <f t="shared" si="10"/>
        <v>Marketing</v>
      </c>
      <c r="L134" s="4">
        <f t="shared" ca="1" si="11"/>
        <v>4</v>
      </c>
      <c r="M134" t="str" cm="1">
        <f t="array" ref="M134">_xlfn.IFS(
H134&lt;50,"Needs Improvement",
H134&lt;70,"Developing",
H134&lt;85,"Achieving",
H134&lt;95,"Exceeding",
TRUE,"Outstanding")</f>
        <v>Achieving</v>
      </c>
      <c r="N134" s="2">
        <f t="shared" si="8"/>
        <v>4150.3500000000004</v>
      </c>
    </row>
    <row r="135" spans="2:14" x14ac:dyDescent="0.25">
      <c r="B135" t="s">
        <v>180</v>
      </c>
      <c r="C135" t="s">
        <v>83</v>
      </c>
      <c r="D135" t="s">
        <v>50</v>
      </c>
      <c r="E135" t="s">
        <v>11</v>
      </c>
      <c r="F135" s="5">
        <v>43360</v>
      </c>
      <c r="G135" s="3">
        <v>61547</v>
      </c>
      <c r="H135" s="4">
        <v>68</v>
      </c>
      <c r="I135" t="s">
        <v>37</v>
      </c>
      <c r="J135" t="str">
        <f t="shared" si="9"/>
        <v>David Davis</v>
      </c>
      <c r="K135" t="str">
        <f t="shared" si="10"/>
        <v>Information Technology</v>
      </c>
      <c r="L135" s="4">
        <f t="shared" ca="1" si="11"/>
        <v>7</v>
      </c>
      <c r="M135" t="str" cm="1">
        <f t="array" ref="M135">_xlfn.IFS(
H135&lt;50,"Needs Improvement",
H135&lt;70,"Developing",
H135&lt;85,"Achieving",
H135&lt;95,"Exceeding",
TRUE,"Outstanding")</f>
        <v>Developing</v>
      </c>
      <c r="N135" s="2">
        <f t="shared" si="8"/>
        <v>1230.94</v>
      </c>
    </row>
    <row r="136" spans="2:14" x14ac:dyDescent="0.25">
      <c r="B136" t="s">
        <v>181</v>
      </c>
      <c r="C136" t="s">
        <v>52</v>
      </c>
      <c r="D136" t="s">
        <v>30</v>
      </c>
      <c r="E136" t="s">
        <v>36</v>
      </c>
      <c r="F136" s="5">
        <v>44375</v>
      </c>
      <c r="G136" s="3">
        <v>83627.5</v>
      </c>
      <c r="H136" s="4">
        <v>52</v>
      </c>
      <c r="I136" t="s">
        <v>37</v>
      </c>
      <c r="J136" t="str">
        <f t="shared" si="9"/>
        <v>James Wilson</v>
      </c>
      <c r="K136" t="str">
        <f t="shared" si="10"/>
        <v>Sales</v>
      </c>
      <c r="L136" s="4">
        <f t="shared" ca="1" si="11"/>
        <v>5</v>
      </c>
      <c r="M136" t="str" cm="1">
        <f t="array" ref="M136">_xlfn.IFS(
H136&lt;50,"Needs Improvement",
H136&lt;70,"Developing",
H136&lt;85,"Achieving",
H136&lt;95,"Exceeding",
TRUE,"Outstanding")</f>
        <v>Developing</v>
      </c>
      <c r="N136" s="2">
        <f t="shared" si="8"/>
        <v>1672.55</v>
      </c>
    </row>
    <row r="137" spans="2:14" x14ac:dyDescent="0.25">
      <c r="B137" t="s">
        <v>182</v>
      </c>
      <c r="C137" t="s">
        <v>13</v>
      </c>
      <c r="D137" t="s">
        <v>27</v>
      </c>
      <c r="E137" t="s">
        <v>28</v>
      </c>
      <c r="F137" s="5">
        <v>43011</v>
      </c>
      <c r="G137" s="3">
        <v>50399</v>
      </c>
      <c r="H137" s="4">
        <v>92</v>
      </c>
      <c r="I137" t="s">
        <v>25</v>
      </c>
      <c r="J137" t="str">
        <f t="shared" si="9"/>
        <v>Richard Johnson</v>
      </c>
      <c r="K137" t="str">
        <f t="shared" si="10"/>
        <v>Operations</v>
      </c>
      <c r="L137" s="4">
        <f t="shared" ca="1" si="11"/>
        <v>8</v>
      </c>
      <c r="M137" t="str" cm="1">
        <f t="array" ref="M137">_xlfn.IFS(
H137&lt;50,"Needs Improvement",
H137&lt;70,"Developing",
H137&lt;85,"Achieving",
H137&lt;95,"Exceeding",
TRUE,"Outstanding")</f>
        <v>Exceeding</v>
      </c>
      <c r="N137" s="2">
        <f t="shared" si="8"/>
        <v>4031.92</v>
      </c>
    </row>
    <row r="138" spans="2:14" x14ac:dyDescent="0.25">
      <c r="B138" t="s">
        <v>183</v>
      </c>
      <c r="C138" t="s">
        <v>13</v>
      </c>
      <c r="D138" t="s">
        <v>43</v>
      </c>
      <c r="E138" t="s">
        <v>21</v>
      </c>
      <c r="F138" s="5">
        <v>42299</v>
      </c>
      <c r="G138" s="3">
        <v>83627.5</v>
      </c>
      <c r="H138" s="4">
        <v>62</v>
      </c>
      <c r="I138" t="s">
        <v>37</v>
      </c>
      <c r="J138" t="str">
        <f t="shared" si="9"/>
        <v>Richard Williams</v>
      </c>
      <c r="K138" t="str">
        <f t="shared" si="10"/>
        <v>Finance</v>
      </c>
      <c r="L138" s="4">
        <f t="shared" ca="1" si="11"/>
        <v>10</v>
      </c>
      <c r="M138" t="str" cm="1">
        <f t="array" ref="M138">_xlfn.IFS(
H138&lt;50,"Needs Improvement",
H138&lt;70,"Developing",
H138&lt;85,"Achieving",
H138&lt;95,"Exceeding",
TRUE,"Outstanding")</f>
        <v>Developing</v>
      </c>
      <c r="N138" s="2">
        <f t="shared" si="8"/>
        <v>1672.55</v>
      </c>
    </row>
    <row r="139" spans="2:14" x14ac:dyDescent="0.25">
      <c r="B139" t="s">
        <v>184</v>
      </c>
      <c r="C139" t="s">
        <v>19</v>
      </c>
      <c r="D139" t="s">
        <v>14</v>
      </c>
      <c r="E139" t="s">
        <v>28</v>
      </c>
      <c r="F139" s="5">
        <v>43257</v>
      </c>
      <c r="G139" s="3">
        <v>52720</v>
      </c>
      <c r="H139" s="4">
        <v>68</v>
      </c>
      <c r="I139" t="s">
        <v>37</v>
      </c>
      <c r="J139" t="str">
        <f t="shared" si="9"/>
        <v>John Hernandez</v>
      </c>
      <c r="K139" t="str">
        <f t="shared" si="10"/>
        <v>Operations</v>
      </c>
      <c r="L139" s="4">
        <f t="shared" ca="1" si="11"/>
        <v>8</v>
      </c>
      <c r="M139" t="str" cm="1">
        <f t="array" ref="M139">_xlfn.IFS(
H139&lt;50,"Needs Improvement",
H139&lt;70,"Developing",
H139&lt;85,"Achieving",
H139&lt;95,"Exceeding",
TRUE,"Outstanding")</f>
        <v>Developing</v>
      </c>
      <c r="N139" s="2">
        <f t="shared" si="8"/>
        <v>1054.4000000000001</v>
      </c>
    </row>
    <row r="140" spans="2:14" x14ac:dyDescent="0.25">
      <c r="B140" t="s">
        <v>185</v>
      </c>
      <c r="C140" t="s">
        <v>71</v>
      </c>
      <c r="D140" t="s">
        <v>17</v>
      </c>
      <c r="E140" t="s">
        <v>28</v>
      </c>
      <c r="F140" s="5">
        <v>42932</v>
      </c>
      <c r="G140" s="3">
        <v>65065</v>
      </c>
      <c r="H140" s="4">
        <v>98</v>
      </c>
      <c r="I140" t="s">
        <v>37</v>
      </c>
      <c r="J140" t="str">
        <f t="shared" si="9"/>
        <v>Sarah Gonzalez</v>
      </c>
      <c r="K140" t="str">
        <f t="shared" si="10"/>
        <v>Operations</v>
      </c>
      <c r="L140" s="4">
        <f t="shared" ca="1" si="11"/>
        <v>8</v>
      </c>
      <c r="M140" t="str" cm="1">
        <f t="array" ref="M140">_xlfn.IFS(
H140&lt;50,"Needs Improvement",
H140&lt;70,"Developing",
H140&lt;85,"Achieving",
H140&lt;95,"Exceeding",
TRUE,"Outstanding")</f>
        <v>Outstanding</v>
      </c>
      <c r="N140" s="2">
        <f t="shared" si="8"/>
        <v>7807.7999999999993</v>
      </c>
    </row>
    <row r="141" spans="2:14" x14ac:dyDescent="0.25">
      <c r="B141" t="s">
        <v>186</v>
      </c>
      <c r="C141" t="s">
        <v>78</v>
      </c>
      <c r="D141" t="s">
        <v>14</v>
      </c>
      <c r="E141" t="s">
        <v>36</v>
      </c>
      <c r="F141" s="5">
        <v>42175</v>
      </c>
      <c r="G141" s="3">
        <v>83627.5</v>
      </c>
      <c r="H141" s="4">
        <v>94</v>
      </c>
      <c r="I141" t="s">
        <v>85</v>
      </c>
      <c r="J141" t="str">
        <f t="shared" si="9"/>
        <v>Melissa Hernandez</v>
      </c>
      <c r="K141" t="str">
        <f t="shared" si="10"/>
        <v>Sales</v>
      </c>
      <c r="L141" s="4">
        <f t="shared" ca="1" si="11"/>
        <v>11</v>
      </c>
      <c r="M141" t="str" cm="1">
        <f t="array" ref="M141">_xlfn.IFS(
H141&lt;50,"Needs Improvement",
H141&lt;70,"Developing",
H141&lt;85,"Achieving",
H141&lt;95,"Exceeding",
TRUE,"Outstanding")</f>
        <v>Exceeding</v>
      </c>
      <c r="N141" s="2">
        <f t="shared" si="8"/>
        <v>6690.2</v>
      </c>
    </row>
    <row r="142" spans="2:14" x14ac:dyDescent="0.25">
      <c r="B142" t="s">
        <v>187</v>
      </c>
      <c r="C142" t="s">
        <v>78</v>
      </c>
      <c r="D142" t="s">
        <v>14</v>
      </c>
      <c r="E142" t="s">
        <v>28</v>
      </c>
      <c r="F142" s="5">
        <v>43609</v>
      </c>
      <c r="G142" s="3">
        <v>108119</v>
      </c>
      <c r="H142" s="4">
        <v>57</v>
      </c>
      <c r="I142" t="s">
        <v>85</v>
      </c>
      <c r="J142" t="str">
        <f t="shared" si="9"/>
        <v>Melissa Hernandez</v>
      </c>
      <c r="K142" t="str">
        <f t="shared" si="10"/>
        <v>Operations</v>
      </c>
      <c r="L142" s="4">
        <f t="shared" ca="1" si="11"/>
        <v>7</v>
      </c>
      <c r="M142" t="str" cm="1">
        <f t="array" ref="M142">_xlfn.IFS(
H142&lt;50,"Needs Improvement",
H142&lt;70,"Developing",
H142&lt;85,"Achieving",
H142&lt;95,"Exceeding",
TRUE,"Outstanding")</f>
        <v>Developing</v>
      </c>
      <c r="N142" s="2">
        <f t="shared" si="8"/>
        <v>2162.38</v>
      </c>
    </row>
    <row r="143" spans="2:14" x14ac:dyDescent="0.25">
      <c r="B143" t="s">
        <v>188</v>
      </c>
      <c r="C143" t="s">
        <v>19</v>
      </c>
      <c r="D143" t="s">
        <v>50</v>
      </c>
      <c r="E143" t="s">
        <v>11</v>
      </c>
      <c r="F143" s="5">
        <v>43887</v>
      </c>
      <c r="G143" s="3">
        <v>83627.5</v>
      </c>
      <c r="H143" s="4">
        <v>96</v>
      </c>
      <c r="I143" t="s">
        <v>37</v>
      </c>
      <c r="J143" t="str">
        <f t="shared" si="9"/>
        <v>John Davis</v>
      </c>
      <c r="K143" t="str">
        <f t="shared" si="10"/>
        <v>Information Technology</v>
      </c>
      <c r="L143" s="4">
        <f t="shared" ca="1" si="11"/>
        <v>6</v>
      </c>
      <c r="M143" t="str" cm="1">
        <f t="array" ref="M143">_xlfn.IFS(
H143&lt;50,"Needs Improvement",
H143&lt;70,"Developing",
H143&lt;85,"Achieving",
H143&lt;95,"Exceeding",
TRUE,"Outstanding")</f>
        <v>Outstanding</v>
      </c>
      <c r="N143" s="2">
        <f t="shared" si="8"/>
        <v>10035.299999999999</v>
      </c>
    </row>
    <row r="144" spans="2:14" x14ac:dyDescent="0.25">
      <c r="B144" t="s">
        <v>189</v>
      </c>
      <c r="C144" t="s">
        <v>13</v>
      </c>
      <c r="D144" t="s">
        <v>50</v>
      </c>
      <c r="E144" t="s">
        <v>73</v>
      </c>
      <c r="F144" s="5">
        <v>44991</v>
      </c>
      <c r="G144" s="3">
        <v>106896</v>
      </c>
      <c r="H144" s="4">
        <v>52</v>
      </c>
      <c r="I144" t="s">
        <v>25</v>
      </c>
      <c r="J144" t="str">
        <f t="shared" si="9"/>
        <v>Richard Davis</v>
      </c>
      <c r="K144" t="str">
        <f t="shared" si="10"/>
        <v>Human Resources</v>
      </c>
      <c r="L144" s="4">
        <f t="shared" ca="1" si="11"/>
        <v>3</v>
      </c>
      <c r="M144" t="str" cm="1">
        <f t="array" ref="M144">_xlfn.IFS(
H144&lt;50,"Needs Improvement",
H144&lt;70,"Developing",
H144&lt;85,"Achieving",
H144&lt;95,"Exceeding",
TRUE,"Outstanding")</f>
        <v>Developing</v>
      </c>
      <c r="N144" s="2">
        <f t="shared" si="8"/>
        <v>2137.92</v>
      </c>
    </row>
    <row r="145" spans="2:14" x14ac:dyDescent="0.25">
      <c r="B145" t="s">
        <v>190</v>
      </c>
      <c r="D145" t="s">
        <v>47</v>
      </c>
      <c r="E145" t="s">
        <v>11</v>
      </c>
      <c r="F145" s="5">
        <v>43477</v>
      </c>
      <c r="G145" s="3">
        <v>112887</v>
      </c>
      <c r="H145" s="4">
        <v>59</v>
      </c>
      <c r="I145" t="s">
        <v>37</v>
      </c>
      <c r="J145" t="str">
        <f t="shared" si="9"/>
        <v xml:space="preserve"> Jones</v>
      </c>
      <c r="K145" t="str">
        <f t="shared" si="10"/>
        <v>Information Technology</v>
      </c>
      <c r="L145" s="4">
        <f t="shared" ca="1" si="11"/>
        <v>7</v>
      </c>
      <c r="M145" t="str" cm="1">
        <f t="array" ref="M145">_xlfn.IFS(
H145&lt;50,"Needs Improvement",
H145&lt;70,"Developing",
H145&lt;85,"Achieving",
H145&lt;95,"Exceeding",
TRUE,"Outstanding")</f>
        <v>Developing</v>
      </c>
      <c r="N145" s="2">
        <f t="shared" si="8"/>
        <v>2257.7400000000002</v>
      </c>
    </row>
    <row r="146" spans="2:14" x14ac:dyDescent="0.25">
      <c r="B146" t="s">
        <v>191</v>
      </c>
      <c r="C146" t="s">
        <v>116</v>
      </c>
      <c r="D146" t="s">
        <v>33</v>
      </c>
      <c r="E146" t="s">
        <v>21</v>
      </c>
      <c r="F146" s="5">
        <v>45037</v>
      </c>
      <c r="G146" s="3">
        <v>85457</v>
      </c>
      <c r="H146" s="4">
        <v>79</v>
      </c>
      <c r="I146" t="s">
        <v>37</v>
      </c>
      <c r="J146" t="str">
        <f t="shared" si="9"/>
        <v>William Rodriguez</v>
      </c>
      <c r="K146" t="str">
        <f t="shared" si="10"/>
        <v>Finance</v>
      </c>
      <c r="L146" s="4">
        <f t="shared" ca="1" si="11"/>
        <v>3</v>
      </c>
      <c r="M146" t="str" cm="1">
        <f t="array" ref="M146">_xlfn.IFS(
H146&lt;50,"Needs Improvement",
H146&lt;70,"Developing",
H146&lt;85,"Achieving",
H146&lt;95,"Exceeding",
TRUE,"Outstanding")</f>
        <v>Achieving</v>
      </c>
      <c r="N146" s="2">
        <f t="shared" si="8"/>
        <v>4272.8500000000004</v>
      </c>
    </row>
    <row r="147" spans="2:14" x14ac:dyDescent="0.25">
      <c r="B147" t="s">
        <v>192</v>
      </c>
      <c r="C147" t="s">
        <v>78</v>
      </c>
      <c r="D147" t="s">
        <v>39</v>
      </c>
      <c r="E147" t="s">
        <v>36</v>
      </c>
      <c r="F147" s="5">
        <v>42519</v>
      </c>
      <c r="G147" s="3">
        <v>62798</v>
      </c>
      <c r="H147" s="4">
        <v>30</v>
      </c>
      <c r="I147" t="s">
        <v>37</v>
      </c>
      <c r="J147" t="str">
        <f t="shared" si="9"/>
        <v>Melissa Miller</v>
      </c>
      <c r="K147" t="str">
        <f t="shared" si="10"/>
        <v>Sales</v>
      </c>
      <c r="L147" s="4">
        <f t="shared" ca="1" si="11"/>
        <v>10</v>
      </c>
      <c r="M147" t="str" cm="1">
        <f t="array" ref="M147">_xlfn.IFS(
H147&lt;50,"Needs Improvement",
H147&lt;70,"Developing",
H147&lt;85,"Achieving",
H147&lt;95,"Exceeding",
TRUE,"Outstanding")</f>
        <v>Needs Improvement</v>
      </c>
      <c r="N147" s="2">
        <f t="shared" si="8"/>
        <v>0</v>
      </c>
    </row>
    <row r="148" spans="2:14" x14ac:dyDescent="0.25">
      <c r="B148" t="s">
        <v>193</v>
      </c>
      <c r="C148" t="s">
        <v>9</v>
      </c>
      <c r="D148" t="s">
        <v>20</v>
      </c>
      <c r="E148" t="s">
        <v>28</v>
      </c>
      <c r="F148" s="5">
        <v>44711</v>
      </c>
      <c r="G148" s="3">
        <v>47794</v>
      </c>
      <c r="H148" s="4">
        <v>73</v>
      </c>
      <c r="I148" t="s">
        <v>25</v>
      </c>
      <c r="J148" t="str">
        <f t="shared" si="9"/>
        <v>Emily Martinez</v>
      </c>
      <c r="K148" t="str">
        <f t="shared" si="10"/>
        <v>Operations</v>
      </c>
      <c r="L148" s="4">
        <f t="shared" ca="1" si="11"/>
        <v>4</v>
      </c>
      <c r="M148" t="str" cm="1">
        <f t="array" ref="M148">_xlfn.IFS(
H148&lt;50,"Needs Improvement",
H148&lt;70,"Developing",
H148&lt;85,"Achieving",
H148&lt;95,"Exceeding",
TRUE,"Outstanding")</f>
        <v>Achieving</v>
      </c>
      <c r="N148" s="2">
        <f t="shared" ref="N148:N150" si="12">IF(M148="Needs Improvement",0,
IF(M148="Developing",G148*2%,
IF(M148="Achieving",G148*5%,
IF(M148="Exceeding",G148*8%,G148*12%))))</f>
        <v>2389.7000000000003</v>
      </c>
    </row>
    <row r="149" spans="2:14" x14ac:dyDescent="0.25">
      <c r="B149" t="s">
        <v>194</v>
      </c>
      <c r="C149" t="s">
        <v>52</v>
      </c>
      <c r="D149" t="s">
        <v>33</v>
      </c>
      <c r="E149" t="s">
        <v>15</v>
      </c>
      <c r="F149" s="5">
        <v>42677</v>
      </c>
      <c r="G149" s="3">
        <v>93094</v>
      </c>
      <c r="H149" s="4">
        <v>74</v>
      </c>
      <c r="I149" t="s">
        <v>37</v>
      </c>
      <c r="J149" t="str">
        <f t="shared" si="9"/>
        <v>James Rodriguez</v>
      </c>
      <c r="K149" t="str">
        <f t="shared" si="10"/>
        <v>Marketing</v>
      </c>
      <c r="L149" s="4">
        <f t="shared" ca="1" si="11"/>
        <v>9</v>
      </c>
      <c r="M149" t="str" cm="1">
        <f t="array" ref="M149">_xlfn.IFS(
H149&lt;50,"Needs Improvement",
H149&lt;70,"Developing",
H149&lt;85,"Achieving",
H149&lt;95,"Exceeding",
TRUE,"Outstanding")</f>
        <v>Achieving</v>
      </c>
      <c r="N149" s="2">
        <f t="shared" si="12"/>
        <v>4654.7</v>
      </c>
    </row>
    <row r="150" spans="2:14" x14ac:dyDescent="0.25">
      <c r="B150" t="s">
        <v>195</v>
      </c>
      <c r="C150" t="s">
        <v>57</v>
      </c>
      <c r="D150" t="s">
        <v>10</v>
      </c>
      <c r="E150" t="s">
        <v>11</v>
      </c>
      <c r="F150" s="5">
        <v>44848</v>
      </c>
      <c r="G150" s="3">
        <v>118634</v>
      </c>
      <c r="H150" s="4">
        <v>91</v>
      </c>
      <c r="I150" t="s">
        <v>37</v>
      </c>
      <c r="J150" t="str">
        <f t="shared" si="9"/>
        <v>Amanda Brown</v>
      </c>
      <c r="K150" t="str">
        <f t="shared" si="10"/>
        <v>Information Technology</v>
      </c>
      <c r="L150" s="4">
        <f t="shared" ca="1" si="11"/>
        <v>3</v>
      </c>
      <c r="M150" t="str" cm="1">
        <f t="array" ref="M150">_xlfn.IFS(
H150&lt;50,"Needs Improvement",
H150&lt;70,"Developing",
H150&lt;85,"Achieving",
H150&lt;95,"Exceeding",
TRUE,"Outstanding")</f>
        <v>Exceeding</v>
      </c>
      <c r="N150" s="2">
        <f t="shared" si="12"/>
        <v>9490.7199999999993</v>
      </c>
    </row>
    <row r="151" spans="2:14" x14ac:dyDescent="0.25">
      <c r="J151" t="str">
        <f>C151&amp;" "&amp;D151</f>
        <v xml:space="preserve"> </v>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5" x14ac:dyDescent="0.25"/>
  <sheetData>
    <row r="1" spans="1:2" x14ac:dyDescent="0.25">
      <c r="A1" s="1" t="s">
        <v>196</v>
      </c>
      <c r="B1" s="1" t="s">
        <v>197</v>
      </c>
    </row>
    <row r="2" spans="1:2" x14ac:dyDescent="0.25">
      <c r="A2" t="s">
        <v>73</v>
      </c>
      <c r="B2" t="s">
        <v>198</v>
      </c>
    </row>
    <row r="3" spans="1:2" x14ac:dyDescent="0.25">
      <c r="A3" t="s">
        <v>11</v>
      </c>
      <c r="B3" t="s">
        <v>199</v>
      </c>
    </row>
    <row r="4" spans="1:2" x14ac:dyDescent="0.25">
      <c r="A4" t="s">
        <v>21</v>
      </c>
      <c r="B4" t="s">
        <v>200</v>
      </c>
    </row>
    <row r="5" spans="1:2" x14ac:dyDescent="0.25">
      <c r="A5" t="s">
        <v>15</v>
      </c>
      <c r="B5" t="s">
        <v>201</v>
      </c>
    </row>
    <row r="6" spans="1:2" x14ac:dyDescent="0.25">
      <c r="A6" t="s">
        <v>36</v>
      </c>
      <c r="B6" t="s">
        <v>202</v>
      </c>
    </row>
    <row r="7" spans="1:2" x14ac:dyDescent="0.25">
      <c r="A7" t="s">
        <v>28</v>
      </c>
      <c r="B7" t="s">
        <v>203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heetViews>
  <sheetFormatPr defaultRowHeight="15" x14ac:dyDescent="0.25"/>
  <sheetData>
    <row r="1" spans="1:4" x14ac:dyDescent="0.25">
      <c r="A1" s="1" t="s">
        <v>204</v>
      </c>
      <c r="B1" s="1" t="s">
        <v>205</v>
      </c>
      <c r="C1" s="1" t="s">
        <v>206</v>
      </c>
      <c r="D1" s="1" t="s">
        <v>207</v>
      </c>
    </row>
    <row r="2" spans="1:4" x14ac:dyDescent="0.25">
      <c r="A2">
        <v>0</v>
      </c>
      <c r="B2">
        <v>49</v>
      </c>
      <c r="C2" t="s">
        <v>208</v>
      </c>
      <c r="D2">
        <v>0</v>
      </c>
    </row>
    <row r="3" spans="1:4" x14ac:dyDescent="0.25">
      <c r="A3">
        <v>50</v>
      </c>
      <c r="B3">
        <v>69</v>
      </c>
      <c r="C3" t="s">
        <v>209</v>
      </c>
      <c r="D3">
        <v>0.02</v>
      </c>
    </row>
    <row r="4" spans="1:4" x14ac:dyDescent="0.25">
      <c r="A4">
        <v>70</v>
      </c>
      <c r="B4">
        <v>84</v>
      </c>
      <c r="C4" t="s">
        <v>210</v>
      </c>
      <c r="D4">
        <v>0.05</v>
      </c>
    </row>
    <row r="5" spans="1:4" x14ac:dyDescent="0.25">
      <c r="A5">
        <v>85</v>
      </c>
      <c r="B5">
        <v>94</v>
      </c>
      <c r="C5" t="s">
        <v>211</v>
      </c>
      <c r="D5">
        <v>0.08</v>
      </c>
    </row>
    <row r="6" spans="1:4" x14ac:dyDescent="0.25">
      <c r="A6">
        <v>95</v>
      </c>
      <c r="B6">
        <v>100</v>
      </c>
      <c r="C6" t="s">
        <v>212</v>
      </c>
      <c r="D6">
        <v>0.12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4F1F9-D0D6-40C4-B1A5-9D965AFFB4CC}">
  <dimension ref="A1:L46"/>
  <sheetViews>
    <sheetView topLeftCell="E1" workbookViewId="0">
      <selection activeCell="K16" sqref="K16:K20"/>
    </sheetView>
  </sheetViews>
  <sheetFormatPr defaultRowHeight="15" x14ac:dyDescent="0.25"/>
  <cols>
    <col min="1" max="1" width="16.42578125" bestFit="1" customWidth="1"/>
    <col min="2" max="2" width="15.28515625" customWidth="1"/>
    <col min="3" max="3" width="15.28515625" bestFit="1" customWidth="1"/>
    <col min="4" max="4" width="22.5703125" bestFit="1" customWidth="1"/>
    <col min="5" max="5" width="18.140625" bestFit="1" customWidth="1"/>
    <col min="6" max="6" width="4.42578125" bestFit="1" customWidth="1"/>
    <col min="7" max="7" width="9.140625" bestFit="1" customWidth="1"/>
    <col min="8" max="8" width="17.28515625" customWidth="1"/>
    <col min="10" max="10" width="19.85546875" bestFit="1" customWidth="1"/>
    <col min="11" max="11" width="28.140625" bestFit="1" customWidth="1"/>
    <col min="12" max="12" width="14.140625" bestFit="1" customWidth="1"/>
  </cols>
  <sheetData>
    <row r="1" spans="1:12" ht="15.75" x14ac:dyDescent="0.25">
      <c r="A1" s="33" t="s">
        <v>244</v>
      </c>
      <c r="B1" s="32"/>
      <c r="D1" s="11" t="s">
        <v>221</v>
      </c>
      <c r="E1" s="11"/>
      <c r="F1" s="11"/>
      <c r="J1" s="11" t="s">
        <v>227</v>
      </c>
      <c r="K1" s="11"/>
      <c r="L1" s="16"/>
    </row>
    <row r="2" spans="1:12" ht="15" customHeight="1" x14ac:dyDescent="0.25">
      <c r="L2" s="16"/>
    </row>
    <row r="3" spans="1:12" x14ac:dyDescent="0.25">
      <c r="A3" t="s">
        <v>222</v>
      </c>
      <c r="D3" s="8" t="s">
        <v>214</v>
      </c>
      <c r="E3" t="s">
        <v>223</v>
      </c>
      <c r="F3" t="s">
        <v>219</v>
      </c>
      <c r="J3" s="8" t="s">
        <v>7</v>
      </c>
      <c r="K3" t="s">
        <v>242</v>
      </c>
    </row>
    <row r="4" spans="1:12" x14ac:dyDescent="0.25">
      <c r="A4" s="4">
        <v>149</v>
      </c>
      <c r="B4" s="4">
        <f>GETPIVOTDATA("Emp ID",$A$3)</f>
        <v>149</v>
      </c>
      <c r="D4" s="9" t="s">
        <v>200</v>
      </c>
      <c r="E4" s="12">
        <v>86242.65625</v>
      </c>
      <c r="F4" s="10">
        <v>16</v>
      </c>
      <c r="J4" s="9" t="s">
        <v>37</v>
      </c>
      <c r="K4" s="15">
        <v>67.765217391304347</v>
      </c>
    </row>
    <row r="5" spans="1:12" x14ac:dyDescent="0.25">
      <c r="D5" s="9" t="s">
        <v>198</v>
      </c>
      <c r="E5" s="12">
        <v>85537.583333333328</v>
      </c>
      <c r="F5" s="10">
        <v>18</v>
      </c>
      <c r="J5" s="9" t="s">
        <v>25</v>
      </c>
      <c r="K5" s="15">
        <v>66.291666666666671</v>
      </c>
    </row>
    <row r="6" spans="1:12" x14ac:dyDescent="0.25">
      <c r="D6" s="9" t="s">
        <v>199</v>
      </c>
      <c r="E6" s="12">
        <v>80516.097222222219</v>
      </c>
      <c r="F6" s="10">
        <v>36</v>
      </c>
      <c r="J6" s="9" t="s">
        <v>85</v>
      </c>
      <c r="K6" s="15">
        <v>76.400000000000006</v>
      </c>
    </row>
    <row r="7" spans="1:12" ht="15.75" x14ac:dyDescent="0.25">
      <c r="A7" s="33" t="s">
        <v>223</v>
      </c>
      <c r="D7" s="9" t="s">
        <v>201</v>
      </c>
      <c r="E7" s="12">
        <v>85409.18421052632</v>
      </c>
      <c r="F7" s="10">
        <v>19</v>
      </c>
    </row>
    <row r="8" spans="1:12" x14ac:dyDescent="0.25">
      <c r="D8" s="9" t="s">
        <v>203</v>
      </c>
      <c r="E8" s="12">
        <v>80051.551724137928</v>
      </c>
      <c r="F8" s="10">
        <v>29</v>
      </c>
    </row>
    <row r="9" spans="1:12" x14ac:dyDescent="0.25">
      <c r="A9" t="s">
        <v>220</v>
      </c>
      <c r="D9" s="9" t="s">
        <v>202</v>
      </c>
      <c r="E9" s="12">
        <v>86339.161290322576</v>
      </c>
      <c r="F9" s="10">
        <v>31</v>
      </c>
    </row>
    <row r="10" spans="1:12" x14ac:dyDescent="0.25">
      <c r="A10" s="12">
        <v>83482.697986577186</v>
      </c>
      <c r="B10" s="12">
        <f>GETPIVOTDATA("Salary",$A$9)</f>
        <v>83482.697986577186</v>
      </c>
    </row>
    <row r="13" spans="1:12" ht="15.75" x14ac:dyDescent="0.25">
      <c r="A13" s="33" t="s">
        <v>245</v>
      </c>
      <c r="D13" s="11" t="s">
        <v>240</v>
      </c>
      <c r="E13" s="11"/>
      <c r="J13" s="11" t="s">
        <v>228</v>
      </c>
      <c r="K13" s="11"/>
    </row>
    <row r="14" spans="1:12" x14ac:dyDescent="0.25">
      <c r="A14" s="34">
        <f>((SUM(F30:F35) + SUM(G30:G35)) / B4)</f>
        <v>0.22818791946308725</v>
      </c>
    </row>
    <row r="15" spans="1:12" x14ac:dyDescent="0.25">
      <c r="A15" s="34"/>
      <c r="D15" s="8" t="s">
        <v>214</v>
      </c>
      <c r="E15" t="s">
        <v>222</v>
      </c>
      <c r="J15" s="8" t="s">
        <v>217</v>
      </c>
      <c r="K15" t="s">
        <v>229</v>
      </c>
    </row>
    <row r="16" spans="1:12" x14ac:dyDescent="0.25">
      <c r="D16" s="9" t="s">
        <v>200</v>
      </c>
      <c r="E16" s="10">
        <v>16</v>
      </c>
      <c r="J16" s="9" t="s">
        <v>210</v>
      </c>
      <c r="K16" s="12">
        <v>192811.72500000001</v>
      </c>
    </row>
    <row r="17" spans="4:12" x14ac:dyDescent="0.25">
      <c r="D17" s="9" t="s">
        <v>198</v>
      </c>
      <c r="E17" s="10">
        <v>18</v>
      </c>
      <c r="J17" s="9" t="s">
        <v>209</v>
      </c>
      <c r="K17" s="12">
        <v>71518.700000000026</v>
      </c>
    </row>
    <row r="18" spans="4:12" x14ac:dyDescent="0.25">
      <c r="D18" s="9" t="s">
        <v>199</v>
      </c>
      <c r="E18" s="10">
        <v>36</v>
      </c>
      <c r="J18" s="9" t="s">
        <v>211</v>
      </c>
      <c r="K18" s="12">
        <v>144693.20000000001</v>
      </c>
    </row>
    <row r="19" spans="4:12" x14ac:dyDescent="0.25">
      <c r="D19" s="9" t="s">
        <v>201</v>
      </c>
      <c r="E19" s="10">
        <v>19</v>
      </c>
      <c r="J19" s="9" t="s">
        <v>208</v>
      </c>
      <c r="K19" s="12">
        <v>0</v>
      </c>
    </row>
    <row r="20" spans="4:12" x14ac:dyDescent="0.25">
      <c r="D20" s="9" t="s">
        <v>203</v>
      </c>
      <c r="E20" s="10">
        <v>29</v>
      </c>
      <c r="J20" s="9" t="s">
        <v>212</v>
      </c>
      <c r="K20" s="12">
        <v>92414.340000000011</v>
      </c>
    </row>
    <row r="21" spans="4:12" x14ac:dyDescent="0.25">
      <c r="D21" s="9" t="s">
        <v>202</v>
      </c>
      <c r="E21" s="10">
        <v>31</v>
      </c>
    </row>
    <row r="23" spans="4:12" ht="15.75" x14ac:dyDescent="0.25">
      <c r="L23" s="17"/>
    </row>
    <row r="26" spans="4:12" ht="15.75" x14ac:dyDescent="0.25">
      <c r="D26" s="11" t="s">
        <v>224</v>
      </c>
      <c r="E26" s="11"/>
      <c r="F26" s="11"/>
      <c r="G26" s="11"/>
      <c r="H26" s="11"/>
      <c r="J26" s="18" t="s">
        <v>239</v>
      </c>
      <c r="K26" t="s">
        <v>222</v>
      </c>
    </row>
    <row r="27" spans="4:12" x14ac:dyDescent="0.25">
      <c r="J27" s="9" t="s">
        <v>230</v>
      </c>
      <c r="K27" s="4">
        <v>13</v>
      </c>
    </row>
    <row r="28" spans="4:12" x14ac:dyDescent="0.25">
      <c r="D28" s="8" t="s">
        <v>222</v>
      </c>
      <c r="E28" s="8" t="s">
        <v>225</v>
      </c>
      <c r="H28" s="14" t="s">
        <v>226</v>
      </c>
      <c r="J28" s="9" t="s">
        <v>231</v>
      </c>
      <c r="K28" s="4">
        <v>17</v>
      </c>
    </row>
    <row r="29" spans="4:12" x14ac:dyDescent="0.25">
      <c r="D29" s="8" t="s">
        <v>214</v>
      </c>
      <c r="E29" t="s">
        <v>37</v>
      </c>
      <c r="F29" t="s">
        <v>25</v>
      </c>
      <c r="G29" t="s">
        <v>85</v>
      </c>
      <c r="H29" s="14"/>
      <c r="J29" s="9" t="s">
        <v>232</v>
      </c>
      <c r="K29" s="4">
        <v>19</v>
      </c>
    </row>
    <row r="30" spans="4:12" x14ac:dyDescent="0.25">
      <c r="D30" s="9" t="s">
        <v>200</v>
      </c>
      <c r="E30" s="10">
        <v>13</v>
      </c>
      <c r="F30" s="10">
        <v>3</v>
      </c>
      <c r="G30" s="10"/>
      <c r="H30" s="35">
        <f>(F30+G30)/(E30+F30+G30)</f>
        <v>0.1875</v>
      </c>
      <c r="J30" s="9" t="s">
        <v>233</v>
      </c>
      <c r="K30" s="4">
        <v>17</v>
      </c>
    </row>
    <row r="31" spans="4:12" x14ac:dyDescent="0.25">
      <c r="D31" s="9" t="s">
        <v>198</v>
      </c>
      <c r="E31" s="10">
        <v>15</v>
      </c>
      <c r="F31" s="10">
        <v>2</v>
      </c>
      <c r="G31" s="10">
        <v>1</v>
      </c>
      <c r="H31" s="35">
        <f t="shared" ref="H31:H35" si="0">(F31+G31)/(E31+F31+G31)</f>
        <v>0.16666666666666666</v>
      </c>
      <c r="J31" s="9" t="s">
        <v>234</v>
      </c>
      <c r="K31" s="4">
        <v>16</v>
      </c>
    </row>
    <row r="32" spans="4:12" x14ac:dyDescent="0.25">
      <c r="D32" s="9" t="s">
        <v>199</v>
      </c>
      <c r="E32" s="10">
        <v>28</v>
      </c>
      <c r="F32" s="10">
        <v>6</v>
      </c>
      <c r="G32" s="10">
        <v>2</v>
      </c>
      <c r="H32" s="35">
        <f t="shared" si="0"/>
        <v>0.22222222222222221</v>
      </c>
      <c r="J32" s="9" t="s">
        <v>235</v>
      </c>
      <c r="K32" s="4">
        <v>17</v>
      </c>
    </row>
    <row r="33" spans="4:11" x14ac:dyDescent="0.25">
      <c r="D33" s="9" t="s">
        <v>201</v>
      </c>
      <c r="E33" s="10">
        <v>16</v>
      </c>
      <c r="F33" s="10">
        <v>3</v>
      </c>
      <c r="G33" s="10"/>
      <c r="H33" s="35">
        <f t="shared" si="0"/>
        <v>0.15789473684210525</v>
      </c>
      <c r="J33" s="9" t="s">
        <v>236</v>
      </c>
      <c r="K33" s="4">
        <v>15</v>
      </c>
    </row>
    <row r="34" spans="4:11" x14ac:dyDescent="0.25">
      <c r="D34" s="9" t="s">
        <v>203</v>
      </c>
      <c r="E34" s="10">
        <v>18</v>
      </c>
      <c r="F34" s="10">
        <v>6</v>
      </c>
      <c r="G34" s="10">
        <v>5</v>
      </c>
      <c r="H34" s="35">
        <f t="shared" si="0"/>
        <v>0.37931034482758619</v>
      </c>
      <c r="J34" s="9" t="s">
        <v>237</v>
      </c>
      <c r="K34" s="4">
        <v>18</v>
      </c>
    </row>
    <row r="35" spans="4:11" x14ac:dyDescent="0.25">
      <c r="D35" s="9" t="s">
        <v>202</v>
      </c>
      <c r="E35" s="10">
        <v>25</v>
      </c>
      <c r="F35" s="10">
        <v>4</v>
      </c>
      <c r="G35" s="10">
        <v>2</v>
      </c>
      <c r="H35" s="35">
        <f t="shared" si="0"/>
        <v>0.19354838709677419</v>
      </c>
      <c r="J35" s="9" t="s">
        <v>238</v>
      </c>
      <c r="K35" s="4">
        <v>17</v>
      </c>
    </row>
    <row r="39" spans="4:11" x14ac:dyDescent="0.25">
      <c r="F39" s="15"/>
    </row>
    <row r="40" spans="4:11" x14ac:dyDescent="0.25">
      <c r="E40" s="13" t="s">
        <v>214</v>
      </c>
      <c r="F40" s="23" t="s">
        <v>226</v>
      </c>
    </row>
    <row r="41" spans="4:11" x14ac:dyDescent="0.25">
      <c r="E41" s="21" t="s">
        <v>200</v>
      </c>
      <c r="F41" s="24">
        <v>18.75</v>
      </c>
    </row>
    <row r="42" spans="4:11" x14ac:dyDescent="0.25">
      <c r="E42" s="21" t="s">
        <v>198</v>
      </c>
      <c r="F42" s="24">
        <v>16.666666666666664</v>
      </c>
    </row>
    <row r="43" spans="4:11" x14ac:dyDescent="0.25">
      <c r="E43" s="21" t="s">
        <v>199</v>
      </c>
      <c r="F43" s="24">
        <v>22.222222222222221</v>
      </c>
    </row>
    <row r="44" spans="4:11" x14ac:dyDescent="0.25">
      <c r="E44" s="21" t="s">
        <v>201</v>
      </c>
      <c r="F44" s="24">
        <v>15.789473684210526</v>
      </c>
    </row>
    <row r="45" spans="4:11" x14ac:dyDescent="0.25">
      <c r="E45" s="21" t="s">
        <v>203</v>
      </c>
      <c r="F45" s="24">
        <v>37.931034482758619</v>
      </c>
    </row>
    <row r="46" spans="4:11" x14ac:dyDescent="0.25">
      <c r="E46" s="22" t="s">
        <v>202</v>
      </c>
      <c r="F46" s="24">
        <v>19.35483870967742</v>
      </c>
    </row>
  </sheetData>
  <mergeCells count="6">
    <mergeCell ref="D13:E13"/>
    <mergeCell ref="D1:F1"/>
    <mergeCell ref="H28:H29"/>
    <mergeCell ref="J1:K1"/>
    <mergeCell ref="J13:K13"/>
    <mergeCell ref="D26:H2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BB165-6E68-493B-9B32-F491E1D836DA}">
  <dimension ref="A1:Q18"/>
  <sheetViews>
    <sheetView showGridLines="0" showRowColHeaders="0" topLeftCell="A24" workbookViewId="0">
      <selection activeCell="C38" sqref="C38"/>
    </sheetView>
  </sheetViews>
  <sheetFormatPr defaultRowHeight="15" x14ac:dyDescent="0.25"/>
  <sheetData>
    <row r="1" spans="1:17" ht="15.75" x14ac:dyDescent="0.25">
      <c r="A1" s="19" t="s">
        <v>221</v>
      </c>
      <c r="B1" s="19"/>
      <c r="C1" s="19"/>
      <c r="D1" s="19"/>
      <c r="E1" s="19"/>
      <c r="F1" s="19"/>
      <c r="G1" s="19"/>
      <c r="J1" s="20" t="s">
        <v>241</v>
      </c>
      <c r="K1" s="20"/>
      <c r="L1" s="20"/>
      <c r="M1" s="20"/>
      <c r="N1" s="20"/>
      <c r="O1" s="20"/>
      <c r="P1" s="20"/>
      <c r="Q1" s="20"/>
    </row>
    <row r="18" spans="10:17" ht="15.75" x14ac:dyDescent="0.25">
      <c r="J18" s="20" t="s">
        <v>243</v>
      </c>
      <c r="K18" s="20"/>
      <c r="L18" s="20"/>
      <c r="M18" s="20"/>
      <c r="N18" s="20"/>
      <c r="O18" s="20"/>
      <c r="P18" s="20"/>
      <c r="Q18" s="20"/>
    </row>
  </sheetData>
  <mergeCells count="3">
    <mergeCell ref="A1:G1"/>
    <mergeCell ref="J1:Q1"/>
    <mergeCell ref="J18:Q1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4FDD7-0541-4B82-A192-68E254496AC6}">
  <dimension ref="A1"/>
  <sheetViews>
    <sheetView showGridLines="0" tabSelected="1" zoomScale="50" zoomScaleNormal="50" workbookViewId="0">
      <selection activeCell="AF21" sqref="AF2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Raw_Employee_Data</vt:lpstr>
      <vt:lpstr>Lookup_Departments</vt:lpstr>
      <vt:lpstr>Lookup_Performance</vt:lpstr>
      <vt:lpstr>Analysis</vt:lpstr>
      <vt:lpstr>Chart</vt:lpstr>
      <vt:lpstr>HR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Khadijat Oyedeji</cp:lastModifiedBy>
  <dcterms:created xsi:type="dcterms:W3CDTF">2026-06-04T20:20:01Z</dcterms:created>
  <dcterms:modified xsi:type="dcterms:W3CDTF">2026-07-08T11:11:22Z</dcterms:modified>
</cp:coreProperties>
</file>